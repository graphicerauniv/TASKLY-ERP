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ashishgarg/Downloads/"/>
    </mc:Choice>
  </mc:AlternateContent>
  <xr:revisionPtr revIDLastSave="0" documentId="13_ncr:1_{8C21CBC1-9358-FD43-ABE4-E065BF7D70E6}" xr6:coauthVersionLast="47" xr6:coauthVersionMax="47" xr10:uidLastSave="{00000000-0000-0000-0000-000000000000}"/>
  <bookViews>
    <workbookView xWindow="0" yWindow="600" windowWidth="25600" windowHeight="12800" firstSheet="109" activeTab="113" xr2:uid="{00000000-000D-0000-FFFF-FFFF00000000}"/>
  </bookViews>
  <sheets>
    <sheet name="btech-cse-reg-quota" sheetId="1" r:id="rId1"/>
    <sheet name="btech-cse" sheetId="2" r:id="rId2"/>
    <sheet name="btech-cse-cybersecurity" sheetId="3" r:id="rId3"/>
    <sheet name="btech-cse-ai-ds" sheetId="4" r:id="rId4"/>
    <sheet name="btech-cse-ml-ai" sheetId="5" r:id="rId5"/>
    <sheet name="btech-biotech" sheetId="6" r:id="rId6"/>
    <sheet name="btech-civil-working-pro" sheetId="108" r:id="rId7"/>
    <sheet name="btech-ece-working-pro" sheetId="7" r:id="rId8"/>
    <sheet name="btech-ece-vlsi" sheetId="8" r:id="rId9"/>
    <sheet name="btech-ece" sheetId="9" r:id="rId10"/>
    <sheet name="btech-civil" sheetId="10" r:id="rId11"/>
    <sheet name="btech-aerospace" sheetId="11" r:id="rId12"/>
    <sheet name="btech-automobile" sheetId="12" r:id="rId13"/>
    <sheet name="btech-robotic-automation" sheetId="13" r:id="rId14"/>
    <sheet name="btech-me" sheetId="14" r:id="rId15"/>
    <sheet name="btech-ee" sheetId="15" r:id="rId16"/>
    <sheet name="bba-hons" sheetId="16" r:id="rId17"/>
    <sheet name="bba_fintech" sheetId="114" r:id="rId18"/>
    <sheet name="bba_finance" sheetId="17" r:id="rId19"/>
    <sheet name="bba-BA" sheetId="103" r:id="rId20"/>
    <sheet name="bba-em-pr" sheetId="109" r:id="rId21"/>
    <sheet name="bba" sheetId="18" r:id="rId22"/>
    <sheet name="bba-entrepreneurship" sheetId="19" r:id="rId23"/>
    <sheet name="ma-physiotherapy" sheetId="20" r:id="rId24"/>
    <sheet name="ma-eco" sheetId="21" r:id="rId25"/>
    <sheet name="bsc-agri" sheetId="111" r:id="rId26"/>
    <sheet name="ma-english" sheetId="22" r:id="rId27"/>
    <sheet name="MA psychology" sheetId="23" r:id="rId28"/>
    <sheet name="ma-sociology" sheetId="24" r:id="rId29"/>
    <sheet name="MA political science" sheetId="25" r:id="rId30"/>
    <sheet name="mhm" sheetId="27" r:id="rId31"/>
    <sheet name="bpt" sheetId="28" r:id="rId32"/>
    <sheet name="bmlt" sheetId="29" r:id="rId33"/>
    <sheet name="bmrit" sheetId="30" r:id="rId34"/>
    <sheet name="bsc-medical-microbiology" sheetId="31" r:id="rId35"/>
    <sheet name="bsc-ot" sheetId="32" r:id="rId36"/>
    <sheet name="msc-foodtech" sheetId="33" r:id="rId37"/>
    <sheet name="bsc-foodtech-3y" sheetId="34" r:id="rId38"/>
    <sheet name="bsc-foodtech" sheetId="35" r:id="rId39"/>
    <sheet name="bsc-optometry" sheetId="36" r:id="rId40"/>
    <sheet name="bca-cybersecurity" sheetId="37" r:id="rId41"/>
    <sheet name="bca-ai-ds-research" sheetId="38" r:id="rId42"/>
    <sheet name="bca-ai-ds" sheetId="39" r:id="rId43"/>
    <sheet name="bca" sheetId="40" r:id="rId44"/>
    <sheet name="bca-industry" sheetId="41" r:id="rId45"/>
    <sheet name="ba-psychology" sheetId="42" r:id="rId46"/>
    <sheet name="ba-psychology " sheetId="43" r:id="rId47"/>
    <sheet name="bsc-forensic-science" sheetId="44" r:id="rId48"/>
    <sheet name="ba-economics" sheetId="45" r:id="rId49"/>
    <sheet name="ba-political-science-with-resea" sheetId="46" r:id="rId50"/>
    <sheet name="ba-political-science" sheetId="47" r:id="rId51"/>
    <sheet name="ba-english" sheetId="48" r:id="rId52"/>
    <sheet name="mech-cse" sheetId="49" r:id="rId53"/>
    <sheet name="ccho" sheetId="50" r:id="rId54"/>
    <sheet name="msc-biotech" sheetId="51" r:id="rId55"/>
    <sheet name="msc-evs" sheetId="52" r:id="rId56"/>
    <sheet name="msc-applied-geology" sheetId="53" r:id="rId57"/>
    <sheet name="msc-microbiology" sheetId="54" r:id="rId58"/>
    <sheet name="msc-food-nutrition" sheetId="55" r:id="rId59"/>
    <sheet name="msc-bio-chemistry" sheetId="56" r:id="rId60"/>
    <sheet name="msc-chemistry" sheetId="57" r:id="rId61"/>
    <sheet name="mtech-ev" sheetId="58" r:id="rId62"/>
    <sheet name="mtech-structural-engineering" sheetId="59" r:id="rId63"/>
    <sheet name="mtech-cad-cam" sheetId="60" r:id="rId64"/>
    <sheet name="mtech-geo-informatics" sheetId="62" r:id="rId65"/>
    <sheet name="msc-biotech-one-year" sheetId="117" r:id="rId66"/>
    <sheet name="mtech-biotech" sheetId="105" r:id="rId67"/>
    <sheet name="mtech-vlsisd" sheetId="63" r:id="rId68"/>
    <sheet name="bsc-nutrition-dietetics" sheetId="64" r:id="rId69"/>
    <sheet name="mba-gt" sheetId="104" r:id="rId70"/>
    <sheet name="mba" sheetId="65" r:id="rId71"/>
    <sheet name="mba-impact" sheetId="66" r:id="rId72"/>
    <sheet name="bsc-cs" sheetId="67" r:id="rId73"/>
    <sheet name="bsc-it" sheetId="68" r:id="rId74"/>
    <sheet name="bsc-it-industry" sheetId="69" r:id="rId75"/>
    <sheet name="bsc-nursing" sheetId="70" r:id="rId76"/>
    <sheet name="dhm" sheetId="100" r:id="rId77"/>
    <sheet name="bsc-hm" sheetId="101" r:id="rId78"/>
    <sheet name="bhm" sheetId="71" r:id="rId79"/>
    <sheet name="mca-ai-ds" sheetId="72" r:id="rId80"/>
    <sheet name="mca" sheetId="73" r:id="rId81"/>
    <sheet name="msc-it" sheetId="74" r:id="rId82"/>
    <sheet name="ba-hons" sheetId="75" r:id="rId83"/>
    <sheet name="ba-csep" sheetId="116" r:id="rId84"/>
    <sheet name="ba-sociology" sheetId="76" r:id="rId85"/>
    <sheet name="bcom-hons" sheetId="77" r:id="rId86"/>
    <sheet name="bcom_cpa" sheetId="78" r:id="rId87"/>
    <sheet name="bcom-finance-bi" sheetId="115" r:id="rId88"/>
    <sheet name="bcom" sheetId="79" r:id="rId89"/>
    <sheet name="bsc-biotech" sheetId="80" r:id="rId90"/>
    <sheet name="bsc-microbiology" sheetId="81" r:id="rId91"/>
    <sheet name="bsc-geology" sheetId="82" r:id="rId92"/>
    <sheet name="LLM" sheetId="26" r:id="rId93"/>
    <sheet name="llb" sheetId="102" r:id="rId94"/>
    <sheet name="bba-llb" sheetId="83" r:id="rId95"/>
    <sheet name="ba-llb" sheetId="84" r:id="rId96"/>
    <sheet name="bdes-pd" sheetId="86" r:id="rId97"/>
    <sheet name="bdes-ani-game" sheetId="87" r:id="rId98"/>
    <sheet name="bdes-graphic-vcd" sheetId="88" r:id="rId99"/>
    <sheet name="bdes-int-sp" sheetId="107" r:id="rId100"/>
    <sheet name="bdes-ux-id" sheetId="89" r:id="rId101"/>
    <sheet name="Bsc. Renal Dialysis" sheetId="90" r:id="rId102"/>
    <sheet name="Bsc. Anaesthesia Technology" sheetId="91" r:id="rId103"/>
    <sheet name="Bsc. Critical Care" sheetId="92" r:id="rId104"/>
    <sheet name="Bsc. Emer_trauma_care_tech" sheetId="118" r:id="rId105"/>
    <sheet name="Bsc. Respiratory Therapy" sheetId="93" r:id="rId106"/>
    <sheet name="Bsc. Cardiac Perfusion" sheetId="94" r:id="rId107"/>
    <sheet name="Bsc. Aeronautics" sheetId="95" r:id="rId108"/>
    <sheet name="Bsc. Public Health" sheetId="96" r:id="rId109"/>
    <sheet name="Bsc. Clinical Psychology" sheetId="97" r:id="rId110"/>
    <sheet name="M.des" sheetId="98" r:id="rId111"/>
    <sheet name="msc. forensic" sheetId="106" r:id="rId112"/>
    <sheet name="msc. bioinformatics" sheetId="99" r:id="rId113"/>
    <sheet name="msc_pro_interior" sheetId="120" r:id="rId114"/>
    <sheet name="msc_gra_int" sheetId="121" r:id="rId115"/>
    <sheet name="bsc_gra_int" sheetId="122" r:id="rId116"/>
    <sheet name="bsc_pro_interior" sheetId="123" r:id="rId117"/>
    <sheet name="bsc_ani_vfx" sheetId="124" r:id="rId1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20" l="1"/>
  <c r="D12" i="121"/>
  <c r="E12" i="121"/>
  <c r="F12" i="121"/>
  <c r="G12" i="121"/>
  <c r="H12" i="121"/>
  <c r="C12" i="121"/>
  <c r="D12" i="120"/>
  <c r="E12" i="120"/>
  <c r="F12" i="120"/>
  <c r="G12" i="120"/>
  <c r="H12" i="120"/>
  <c r="C12" i="120"/>
  <c r="H13" i="124"/>
  <c r="G13" i="124"/>
  <c r="F13" i="124"/>
  <c r="E13" i="124"/>
  <c r="D13" i="124"/>
  <c r="C13" i="124"/>
  <c r="C12" i="124"/>
  <c r="D12" i="124" s="1"/>
  <c r="C11" i="124"/>
  <c r="H9" i="124"/>
  <c r="H17" i="124" s="1"/>
  <c r="G9" i="124"/>
  <c r="G17" i="124" s="1"/>
  <c r="F9" i="124"/>
  <c r="F17" i="124" s="1"/>
  <c r="E9" i="124"/>
  <c r="E17" i="124" s="1"/>
  <c r="D9" i="124"/>
  <c r="D17" i="124" s="1"/>
  <c r="C9" i="124"/>
  <c r="C10" i="124" s="1"/>
  <c r="D8" i="124"/>
  <c r="D10" i="124" s="1"/>
  <c r="C7" i="124"/>
  <c r="C6" i="124"/>
  <c r="D4" i="124"/>
  <c r="D7" i="124" s="1"/>
  <c r="H13" i="123"/>
  <c r="G13" i="123"/>
  <c r="F13" i="123"/>
  <c r="E13" i="123"/>
  <c r="D13" i="123"/>
  <c r="C13" i="123"/>
  <c r="C12" i="123"/>
  <c r="D12" i="123" s="1"/>
  <c r="C11" i="123"/>
  <c r="H9" i="123"/>
  <c r="H17" i="123" s="1"/>
  <c r="G9" i="123"/>
  <c r="G17" i="123" s="1"/>
  <c r="F9" i="123"/>
  <c r="F17" i="123" s="1"/>
  <c r="E9" i="123"/>
  <c r="E17" i="123" s="1"/>
  <c r="D9" i="123"/>
  <c r="D17" i="123" s="1"/>
  <c r="C9" i="123"/>
  <c r="C10" i="123" s="1"/>
  <c r="D8" i="123"/>
  <c r="D10" i="123" s="1"/>
  <c r="C7" i="123"/>
  <c r="C6" i="123"/>
  <c r="D4" i="123"/>
  <c r="D7" i="123" s="1"/>
  <c r="H13" i="122"/>
  <c r="G13" i="122"/>
  <c r="F13" i="122"/>
  <c r="E13" i="122"/>
  <c r="D13" i="122"/>
  <c r="C13" i="122"/>
  <c r="C12" i="122"/>
  <c r="C14" i="122" s="1"/>
  <c r="C11" i="122"/>
  <c r="H9" i="122"/>
  <c r="H17" i="122" s="1"/>
  <c r="G9" i="122"/>
  <c r="G17" i="122" s="1"/>
  <c r="F9" i="122"/>
  <c r="F17" i="122" s="1"/>
  <c r="E9" i="122"/>
  <c r="E17" i="122" s="1"/>
  <c r="D9" i="122"/>
  <c r="D17" i="122" s="1"/>
  <c r="C9" i="122"/>
  <c r="C10" i="122" s="1"/>
  <c r="D8" i="122"/>
  <c r="D10" i="122" s="1"/>
  <c r="C7" i="122"/>
  <c r="C6" i="122"/>
  <c r="D4" i="122"/>
  <c r="D7" i="122" s="1"/>
  <c r="H9" i="121"/>
  <c r="G9" i="121"/>
  <c r="F9" i="121"/>
  <c r="E9" i="121"/>
  <c r="D9" i="121"/>
  <c r="C9" i="121"/>
  <c r="C11" i="121" s="1"/>
  <c r="D8" i="121"/>
  <c r="D10" i="121" s="1"/>
  <c r="C7" i="121"/>
  <c r="C6" i="121"/>
  <c r="D4" i="121"/>
  <c r="D7" i="121" s="1"/>
  <c r="H9" i="120"/>
  <c r="G9" i="120"/>
  <c r="F9" i="120"/>
  <c r="E9" i="120"/>
  <c r="D9" i="120"/>
  <c r="C10" i="120"/>
  <c r="D8" i="120"/>
  <c r="C7" i="120"/>
  <c r="C6" i="120"/>
  <c r="D4" i="120"/>
  <c r="D7" i="120" s="1"/>
  <c r="C11" i="120" l="1"/>
  <c r="D10" i="120"/>
  <c r="D14" i="124"/>
  <c r="D15" i="124"/>
  <c r="E12" i="124"/>
  <c r="D6" i="124"/>
  <c r="C17" i="124"/>
  <c r="C15" i="124"/>
  <c r="D11" i="124"/>
  <c r="E4" i="124"/>
  <c r="E8" i="124"/>
  <c r="C14" i="124"/>
  <c r="C16" i="124"/>
  <c r="D14" i="123"/>
  <c r="D15" i="123"/>
  <c r="E12" i="123"/>
  <c r="C15" i="123"/>
  <c r="D6" i="123"/>
  <c r="C17" i="123"/>
  <c r="C16" i="123"/>
  <c r="E4" i="123"/>
  <c r="D11" i="123"/>
  <c r="C14" i="123"/>
  <c r="E8" i="123"/>
  <c r="D12" i="122"/>
  <c r="E8" i="122"/>
  <c r="C15" i="122"/>
  <c r="D6" i="122"/>
  <c r="C17" i="122"/>
  <c r="C16" i="122"/>
  <c r="E4" i="122"/>
  <c r="D11" i="122"/>
  <c r="E4" i="121"/>
  <c r="D6" i="121"/>
  <c r="D11" i="121"/>
  <c r="C10" i="121"/>
  <c r="E8" i="121"/>
  <c r="D6" i="120"/>
  <c r="D11" i="120"/>
  <c r="E4" i="120"/>
  <c r="E8" i="120"/>
  <c r="C18" i="124" l="1"/>
  <c r="C20" i="124" s="1"/>
  <c r="C19" i="124"/>
  <c r="D16" i="124"/>
  <c r="E15" i="124"/>
  <c r="F12" i="124"/>
  <c r="E14" i="124"/>
  <c r="E11" i="124"/>
  <c r="F8" i="124"/>
  <c r="E10" i="124"/>
  <c r="E7" i="124"/>
  <c r="F4" i="124"/>
  <c r="E6" i="124"/>
  <c r="C18" i="123"/>
  <c r="C20" i="123" s="1"/>
  <c r="C19" i="123"/>
  <c r="D16" i="123"/>
  <c r="E11" i="123"/>
  <c r="F8" i="123"/>
  <c r="E10" i="123"/>
  <c r="E15" i="123"/>
  <c r="F12" i="123"/>
  <c r="E14" i="123"/>
  <c r="E7" i="123"/>
  <c r="F4" i="123"/>
  <c r="E6" i="123"/>
  <c r="E7" i="122"/>
  <c r="F4" i="122"/>
  <c r="E6" i="122"/>
  <c r="C18" i="122"/>
  <c r="C20" i="122" s="1"/>
  <c r="C19" i="122"/>
  <c r="D16" i="122"/>
  <c r="E11" i="122"/>
  <c r="F8" i="122"/>
  <c r="E10" i="122"/>
  <c r="D14" i="122"/>
  <c r="D15" i="122"/>
  <c r="E12" i="122"/>
  <c r="F8" i="121"/>
  <c r="E11" i="121"/>
  <c r="E10" i="121"/>
  <c r="E7" i="121"/>
  <c r="F4" i="121"/>
  <c r="E6" i="121"/>
  <c r="E11" i="120"/>
  <c r="F8" i="120"/>
  <c r="E10" i="120"/>
  <c r="E7" i="120"/>
  <c r="F4" i="120"/>
  <c r="E6" i="120"/>
  <c r="F15" i="124" l="1"/>
  <c r="G12" i="124"/>
  <c r="F14" i="124"/>
  <c r="F6" i="124"/>
  <c r="G4" i="124"/>
  <c r="F7" i="124"/>
  <c r="D18" i="124"/>
  <c r="D20" i="124" s="1"/>
  <c r="E16" i="124"/>
  <c r="D19" i="124"/>
  <c r="F11" i="124"/>
  <c r="G8" i="124"/>
  <c r="F10" i="124"/>
  <c r="F11" i="123"/>
  <c r="G8" i="123"/>
  <c r="F10" i="123"/>
  <c r="F15" i="123"/>
  <c r="G12" i="123"/>
  <c r="F14" i="123"/>
  <c r="G4" i="123"/>
  <c r="F6" i="123"/>
  <c r="F7" i="123"/>
  <c r="D18" i="123"/>
  <c r="D20" i="123" s="1"/>
  <c r="D19" i="123"/>
  <c r="E16" i="123"/>
  <c r="E15" i="122"/>
  <c r="F12" i="122"/>
  <c r="E14" i="122"/>
  <c r="D18" i="122"/>
  <c r="D20" i="122" s="1"/>
  <c r="D19" i="122"/>
  <c r="E16" i="122"/>
  <c r="G4" i="122"/>
  <c r="F6" i="122"/>
  <c r="F7" i="122"/>
  <c r="F11" i="122"/>
  <c r="G8" i="122"/>
  <c r="F10" i="122"/>
  <c r="G4" i="121"/>
  <c r="F6" i="121"/>
  <c r="F7" i="121"/>
  <c r="F11" i="121"/>
  <c r="G8" i="121"/>
  <c r="F10" i="121"/>
  <c r="F11" i="120"/>
  <c r="G8" i="120"/>
  <c r="F10" i="120"/>
  <c r="F6" i="120"/>
  <c r="G4" i="120"/>
  <c r="F7" i="120"/>
  <c r="G6" i="124" l="1"/>
  <c r="H4" i="124"/>
  <c r="G7" i="124"/>
  <c r="H8" i="124"/>
  <c r="G10" i="124"/>
  <c r="G11" i="124"/>
  <c r="H12" i="124"/>
  <c r="G14" i="124"/>
  <c r="G15" i="124"/>
  <c r="E19" i="124"/>
  <c r="F16" i="124"/>
  <c r="E18" i="124"/>
  <c r="E20" i="124" s="1"/>
  <c r="H4" i="123"/>
  <c r="G6" i="123"/>
  <c r="G7" i="123"/>
  <c r="H12" i="123"/>
  <c r="G14" i="123"/>
  <c r="G15" i="123"/>
  <c r="E19" i="123"/>
  <c r="F16" i="123"/>
  <c r="E18" i="123"/>
  <c r="E20" i="123" s="1"/>
  <c r="H8" i="123"/>
  <c r="G10" i="123"/>
  <c r="G11" i="123"/>
  <c r="G6" i="122"/>
  <c r="G7" i="122"/>
  <c r="H4" i="122"/>
  <c r="E19" i="122"/>
  <c r="F16" i="122"/>
  <c r="E18" i="122"/>
  <c r="E20" i="122" s="1"/>
  <c r="F15" i="122"/>
  <c r="G12" i="122"/>
  <c r="F14" i="122"/>
  <c r="H8" i="122"/>
  <c r="G10" i="122"/>
  <c r="G11" i="122"/>
  <c r="G6" i="121"/>
  <c r="H4" i="121"/>
  <c r="G7" i="121"/>
  <c r="H8" i="121"/>
  <c r="G11" i="121"/>
  <c r="G10" i="121"/>
  <c r="H4" i="120"/>
  <c r="G7" i="120"/>
  <c r="G6" i="120"/>
  <c r="H8" i="120"/>
  <c r="G10" i="120"/>
  <c r="G11" i="120"/>
  <c r="H14" i="124" l="1"/>
  <c r="H15" i="124"/>
  <c r="H6" i="124"/>
  <c r="H7" i="124"/>
  <c r="H10" i="124"/>
  <c r="H11" i="124"/>
  <c r="F19" i="124"/>
  <c r="G16" i="124"/>
  <c r="F18" i="124"/>
  <c r="F20" i="124" s="1"/>
  <c r="F19" i="123"/>
  <c r="G16" i="123"/>
  <c r="F18" i="123"/>
  <c r="F20" i="123" s="1"/>
  <c r="H14" i="123"/>
  <c r="H15" i="123"/>
  <c r="H10" i="123"/>
  <c r="H11" i="123"/>
  <c r="H7" i="123"/>
  <c r="H6" i="123"/>
  <c r="F19" i="122"/>
  <c r="G16" i="122"/>
  <c r="F18" i="122"/>
  <c r="F20" i="122" s="1"/>
  <c r="H7" i="122"/>
  <c r="H6" i="122"/>
  <c r="H11" i="122"/>
  <c r="H10" i="122"/>
  <c r="H12" i="122"/>
  <c r="G14" i="122"/>
  <c r="G15" i="122"/>
  <c r="H10" i="121"/>
  <c r="H11" i="121"/>
  <c r="H6" i="121"/>
  <c r="H7" i="121"/>
  <c r="H10" i="120"/>
  <c r="H11" i="120"/>
  <c r="H7" i="120"/>
  <c r="H6" i="120"/>
  <c r="H16" i="124" l="1"/>
  <c r="G18" i="124"/>
  <c r="G20" i="124" s="1"/>
  <c r="G19" i="124"/>
  <c r="H16" i="123"/>
  <c r="G18" i="123"/>
  <c r="G20" i="123" s="1"/>
  <c r="G19" i="123"/>
  <c r="H14" i="122"/>
  <c r="H15" i="122"/>
  <c r="H16" i="122"/>
  <c r="G18" i="122"/>
  <c r="G20" i="122" s="1"/>
  <c r="G19" i="122"/>
  <c r="H18" i="124" l="1"/>
  <c r="H20" i="124" s="1"/>
  <c r="H19" i="124"/>
  <c r="H18" i="123"/>
  <c r="H20" i="123" s="1"/>
  <c r="H19" i="123"/>
  <c r="H18" i="122"/>
  <c r="H20" i="122" s="1"/>
  <c r="H19" i="122"/>
  <c r="H13" i="118"/>
  <c r="G13" i="118"/>
  <c r="F13" i="118"/>
  <c r="E13" i="118"/>
  <c r="D13" i="118"/>
  <c r="C13" i="118"/>
  <c r="C12" i="118"/>
  <c r="C14" i="118" s="1"/>
  <c r="C11" i="118"/>
  <c r="C10" i="118"/>
  <c r="H9" i="118"/>
  <c r="H17" i="118" s="1"/>
  <c r="G9" i="118"/>
  <c r="G17" i="118" s="1"/>
  <c r="F9" i="118"/>
  <c r="F17" i="118" s="1"/>
  <c r="E9" i="118"/>
  <c r="E17" i="118" s="1"/>
  <c r="D9" i="118"/>
  <c r="D17" i="118" s="1"/>
  <c r="C9" i="118"/>
  <c r="C17" i="118" s="1"/>
  <c r="D8" i="118"/>
  <c r="D11" i="118" s="1"/>
  <c r="C7" i="118"/>
  <c r="C6" i="118"/>
  <c r="D4" i="118"/>
  <c r="D6" i="118" s="1"/>
  <c r="D12" i="20"/>
  <c r="E12" i="20"/>
  <c r="F12" i="20"/>
  <c r="G12" i="20"/>
  <c r="C12" i="20"/>
  <c r="D24" i="83"/>
  <c r="E24" i="83"/>
  <c r="F24" i="83"/>
  <c r="G24" i="83"/>
  <c r="H24" i="83"/>
  <c r="C24" i="83"/>
  <c r="D24" i="84"/>
  <c r="E24" i="84"/>
  <c r="F24" i="84"/>
  <c r="G24" i="84"/>
  <c r="H24" i="84"/>
  <c r="C24" i="84"/>
  <c r="D8" i="117"/>
  <c r="E8" i="117"/>
  <c r="F8" i="117"/>
  <c r="G8" i="117"/>
  <c r="C8" i="117"/>
  <c r="C7" i="117"/>
  <c r="C6" i="117"/>
  <c r="D4" i="117"/>
  <c r="E4" i="117" s="1"/>
  <c r="H13" i="116"/>
  <c r="G13" i="116"/>
  <c r="F13" i="116"/>
  <c r="E13" i="116"/>
  <c r="D13" i="116"/>
  <c r="C13" i="116"/>
  <c r="C12" i="116"/>
  <c r="H9" i="116"/>
  <c r="H17" i="116" s="1"/>
  <c r="G9" i="116"/>
  <c r="G17" i="116" s="1"/>
  <c r="F9" i="116"/>
  <c r="F17" i="116" s="1"/>
  <c r="E9" i="116"/>
  <c r="E17" i="116" s="1"/>
  <c r="D9" i="116"/>
  <c r="D17" i="116" s="1"/>
  <c r="C9" i="116"/>
  <c r="D8" i="116"/>
  <c r="C7" i="116"/>
  <c r="C6" i="116"/>
  <c r="D4" i="116"/>
  <c r="H13" i="115"/>
  <c r="G13" i="115"/>
  <c r="F13" i="115"/>
  <c r="E13" i="115"/>
  <c r="D13" i="115"/>
  <c r="C13" i="115"/>
  <c r="C12" i="115"/>
  <c r="H9" i="115"/>
  <c r="G9" i="115"/>
  <c r="F9" i="115"/>
  <c r="E9" i="115"/>
  <c r="D9" i="115"/>
  <c r="C9" i="115"/>
  <c r="C10" i="115" s="1"/>
  <c r="D8" i="115"/>
  <c r="D10" i="115" s="1"/>
  <c r="C7" i="115"/>
  <c r="D6" i="115"/>
  <c r="C6" i="115"/>
  <c r="D4" i="115"/>
  <c r="D7" i="115" s="1"/>
  <c r="H13" i="114"/>
  <c r="G13" i="114"/>
  <c r="F13" i="114"/>
  <c r="E13" i="114"/>
  <c r="D13" i="114"/>
  <c r="C13" i="114"/>
  <c r="C12" i="114"/>
  <c r="C14" i="114" s="1"/>
  <c r="C11" i="114"/>
  <c r="H9" i="114"/>
  <c r="G9" i="114"/>
  <c r="F9" i="114"/>
  <c r="E9" i="114"/>
  <c r="D9" i="114"/>
  <c r="C9" i="114"/>
  <c r="C10" i="114" s="1"/>
  <c r="D8" i="114"/>
  <c r="D11" i="114" s="1"/>
  <c r="C7" i="114"/>
  <c r="C6" i="114"/>
  <c r="D4" i="114"/>
  <c r="D7" i="114" s="1"/>
  <c r="C16" i="118" l="1"/>
  <c r="E4" i="118"/>
  <c r="D12" i="118"/>
  <c r="E8" i="118"/>
  <c r="C15" i="118"/>
  <c r="D7" i="118"/>
  <c r="D10" i="118"/>
  <c r="E6" i="117"/>
  <c r="F4" i="117"/>
  <c r="E7" i="117"/>
  <c r="D7" i="117"/>
  <c r="D6" i="117"/>
  <c r="D7" i="116"/>
  <c r="D6" i="116"/>
  <c r="E4" i="116"/>
  <c r="D11" i="116"/>
  <c r="D10" i="116"/>
  <c r="E8" i="116"/>
  <c r="C17" i="116"/>
  <c r="C11" i="116"/>
  <c r="C10" i="116"/>
  <c r="C16" i="116"/>
  <c r="C15" i="116"/>
  <c r="C14" i="116"/>
  <c r="D12" i="116"/>
  <c r="C14" i="115"/>
  <c r="C16" i="115"/>
  <c r="E4" i="115"/>
  <c r="E8" i="115"/>
  <c r="D11" i="115"/>
  <c r="D12" i="115"/>
  <c r="C11" i="115"/>
  <c r="C15" i="115"/>
  <c r="C16" i="114"/>
  <c r="E4" i="114"/>
  <c r="D10" i="114"/>
  <c r="D6" i="114"/>
  <c r="E8" i="114"/>
  <c r="C15" i="114"/>
  <c r="D12" i="114"/>
  <c r="C12" i="111"/>
  <c r="C16" i="111" s="1"/>
  <c r="I9" i="111"/>
  <c r="I13" i="111" s="1"/>
  <c r="I17" i="111" s="1"/>
  <c r="H9" i="111"/>
  <c r="H13" i="111" s="1"/>
  <c r="H17" i="111" s="1"/>
  <c r="G9" i="111"/>
  <c r="G13" i="111" s="1"/>
  <c r="G17" i="111" s="1"/>
  <c r="F9" i="111"/>
  <c r="F13" i="111" s="1"/>
  <c r="F17" i="111" s="1"/>
  <c r="E9" i="111"/>
  <c r="E13" i="111" s="1"/>
  <c r="E17" i="111" s="1"/>
  <c r="D9" i="111"/>
  <c r="D13" i="111" s="1"/>
  <c r="D17" i="111" s="1"/>
  <c r="C9" i="111"/>
  <c r="C13" i="111" s="1"/>
  <c r="C17" i="111" s="1"/>
  <c r="D8" i="111"/>
  <c r="E8" i="111" s="1"/>
  <c r="C7" i="111"/>
  <c r="C6" i="111"/>
  <c r="D4" i="111"/>
  <c r="D6" i="111" s="1"/>
  <c r="F8" i="118" l="1"/>
  <c r="E10" i="118"/>
  <c r="E11" i="118"/>
  <c r="C18" i="118"/>
  <c r="C20" i="118" s="1"/>
  <c r="C19" i="118"/>
  <c r="D16" i="118"/>
  <c r="D15" i="118"/>
  <c r="D14" i="118"/>
  <c r="E12" i="118"/>
  <c r="E6" i="118"/>
  <c r="E7" i="118"/>
  <c r="F4" i="118"/>
  <c r="F6" i="117"/>
  <c r="F7" i="117"/>
  <c r="G4" i="117"/>
  <c r="D15" i="116"/>
  <c r="D14" i="116"/>
  <c r="E12" i="116"/>
  <c r="C19" i="116"/>
  <c r="C18" i="116"/>
  <c r="D16" i="116"/>
  <c r="C20" i="116"/>
  <c r="E11" i="116"/>
  <c r="E10" i="116"/>
  <c r="F8" i="116"/>
  <c r="E7" i="116"/>
  <c r="E6" i="116"/>
  <c r="F4" i="116"/>
  <c r="E11" i="115"/>
  <c r="E10" i="115"/>
  <c r="F8" i="115"/>
  <c r="D14" i="115"/>
  <c r="D16" i="115" s="1"/>
  <c r="D15" i="115"/>
  <c r="E12" i="115"/>
  <c r="E7" i="115"/>
  <c r="E6" i="115"/>
  <c r="F4" i="115"/>
  <c r="E11" i="114"/>
  <c r="F8" i="114"/>
  <c r="E10" i="114"/>
  <c r="D14" i="114"/>
  <c r="D15" i="114"/>
  <c r="E12" i="114"/>
  <c r="D16" i="114"/>
  <c r="E7" i="114"/>
  <c r="F4" i="114"/>
  <c r="E6" i="114"/>
  <c r="D12" i="111"/>
  <c r="E12" i="111" s="1"/>
  <c r="E14" i="111" s="1"/>
  <c r="F8" i="111"/>
  <c r="E10" i="111"/>
  <c r="E11" i="111"/>
  <c r="D16" i="111"/>
  <c r="C19" i="111"/>
  <c r="C18" i="111"/>
  <c r="C20" i="111" s="1"/>
  <c r="F12" i="111"/>
  <c r="E15" i="111"/>
  <c r="D7" i="111"/>
  <c r="C10" i="111"/>
  <c r="C11" i="111"/>
  <c r="C14" i="111"/>
  <c r="C15" i="111"/>
  <c r="D15" i="111"/>
  <c r="E4" i="111"/>
  <c r="D11" i="111"/>
  <c r="D10" i="111"/>
  <c r="D14" i="111"/>
  <c r="D19" i="118" l="1"/>
  <c r="D18" i="118"/>
  <c r="E16" i="118"/>
  <c r="F7" i="118"/>
  <c r="G4" i="118"/>
  <c r="F6" i="118"/>
  <c r="D20" i="118"/>
  <c r="F12" i="118"/>
  <c r="E14" i="118"/>
  <c r="E15" i="118"/>
  <c r="F10" i="118"/>
  <c r="F11" i="118"/>
  <c r="G8" i="118"/>
  <c r="G6" i="117"/>
  <c r="G7" i="117"/>
  <c r="F7" i="116"/>
  <c r="F6" i="116"/>
  <c r="G4" i="116"/>
  <c r="F11" i="116"/>
  <c r="F10" i="116"/>
  <c r="G8" i="116"/>
  <c r="D19" i="116"/>
  <c r="D18" i="116"/>
  <c r="D20" i="116" s="1"/>
  <c r="E16" i="116"/>
  <c r="E15" i="116"/>
  <c r="E14" i="116"/>
  <c r="F12" i="116"/>
  <c r="E15" i="115"/>
  <c r="F12" i="115"/>
  <c r="E14" i="115"/>
  <c r="E16" i="115" s="1"/>
  <c r="F11" i="115"/>
  <c r="G8" i="115"/>
  <c r="F10" i="115"/>
  <c r="G4" i="115"/>
  <c r="F6" i="115"/>
  <c r="F7" i="115"/>
  <c r="E15" i="114"/>
  <c r="F12" i="114"/>
  <c r="E14" i="114"/>
  <c r="E16" i="114"/>
  <c r="F10" i="114"/>
  <c r="F11" i="114"/>
  <c r="G8" i="114"/>
  <c r="F6" i="114"/>
  <c r="G4" i="114"/>
  <c r="F7" i="114"/>
  <c r="D19" i="111"/>
  <c r="E16" i="111"/>
  <c r="D18" i="111"/>
  <c r="D20" i="111" s="1"/>
  <c r="F10" i="111"/>
  <c r="G8" i="111"/>
  <c r="F11" i="111"/>
  <c r="E6" i="111"/>
  <c r="F4" i="111"/>
  <c r="E7" i="111"/>
  <c r="F14" i="111"/>
  <c r="G12" i="111"/>
  <c r="F15" i="111"/>
  <c r="G11" i="118" l="1"/>
  <c r="H8" i="118"/>
  <c r="G10" i="118"/>
  <c r="G7" i="118"/>
  <c r="H4" i="118"/>
  <c r="G6" i="118"/>
  <c r="F16" i="118"/>
  <c r="E18" i="118"/>
  <c r="E20" i="118" s="1"/>
  <c r="E19" i="118"/>
  <c r="F14" i="118"/>
  <c r="F15" i="118"/>
  <c r="G12" i="118"/>
  <c r="F15" i="116"/>
  <c r="F14" i="116"/>
  <c r="G12" i="116"/>
  <c r="E19" i="116"/>
  <c r="E18" i="116"/>
  <c r="E20" i="116" s="1"/>
  <c r="F16" i="116"/>
  <c r="G11" i="116"/>
  <c r="G10" i="116"/>
  <c r="H8" i="116"/>
  <c r="G7" i="116"/>
  <c r="G6" i="116"/>
  <c r="H4" i="116"/>
  <c r="G7" i="115"/>
  <c r="H4" i="115"/>
  <c r="G6" i="115"/>
  <c r="H8" i="115"/>
  <c r="G10" i="115"/>
  <c r="G11" i="115"/>
  <c r="F15" i="115"/>
  <c r="G12" i="115"/>
  <c r="F14" i="115"/>
  <c r="F16" i="115"/>
  <c r="G12" i="114"/>
  <c r="F14" i="114"/>
  <c r="F15" i="114"/>
  <c r="F16" i="114"/>
  <c r="G10" i="114"/>
  <c r="G11" i="114"/>
  <c r="H8" i="114"/>
  <c r="G6" i="114"/>
  <c r="G7" i="114"/>
  <c r="H4" i="114"/>
  <c r="G11" i="111"/>
  <c r="H8" i="111"/>
  <c r="G10" i="111"/>
  <c r="G15" i="111"/>
  <c r="G14" i="111"/>
  <c r="H12" i="111"/>
  <c r="F16" i="111"/>
  <c r="E19" i="111"/>
  <c r="E18" i="111"/>
  <c r="E20" i="111" s="1"/>
  <c r="F7" i="111"/>
  <c r="G4" i="111"/>
  <c r="F6" i="111"/>
  <c r="F18" i="118" l="1"/>
  <c r="F20" i="118" s="1"/>
  <c r="F19" i="118"/>
  <c r="G16" i="118"/>
  <c r="H6" i="118"/>
  <c r="H7" i="118"/>
  <c r="G15" i="118"/>
  <c r="H12" i="118"/>
  <c r="G14" i="118"/>
  <c r="H11" i="118"/>
  <c r="H10" i="118"/>
  <c r="H7" i="116"/>
  <c r="H6" i="116"/>
  <c r="H11" i="116"/>
  <c r="H10" i="116"/>
  <c r="F19" i="116"/>
  <c r="F18" i="116"/>
  <c r="F20" i="116" s="1"/>
  <c r="G16" i="116"/>
  <c r="G15" i="116"/>
  <c r="G14" i="116"/>
  <c r="H12" i="116"/>
  <c r="H12" i="115"/>
  <c r="G14" i="115"/>
  <c r="G15" i="115"/>
  <c r="G16" i="115"/>
  <c r="H6" i="115"/>
  <c r="H7" i="115"/>
  <c r="H11" i="115"/>
  <c r="H10" i="115"/>
  <c r="H11" i="114"/>
  <c r="H10" i="114"/>
  <c r="H6" i="114"/>
  <c r="H7" i="114"/>
  <c r="G14" i="114"/>
  <c r="G16" i="114" s="1"/>
  <c r="G15" i="114"/>
  <c r="H12" i="114"/>
  <c r="F18" i="111"/>
  <c r="G16" i="111"/>
  <c r="F19" i="111"/>
  <c r="H4" i="111"/>
  <c r="G7" i="111"/>
  <c r="G6" i="111"/>
  <c r="I8" i="111"/>
  <c r="H11" i="111"/>
  <c r="H10" i="111"/>
  <c r="I12" i="111"/>
  <c r="H15" i="111"/>
  <c r="H14" i="111"/>
  <c r="F20" i="111"/>
  <c r="H15" i="118" l="1"/>
  <c r="H14" i="118"/>
  <c r="G19" i="118"/>
  <c r="H16" i="118"/>
  <c r="G18" i="118"/>
  <c r="G20" i="118" s="1"/>
  <c r="H15" i="116"/>
  <c r="H14" i="116"/>
  <c r="G19" i="116"/>
  <c r="G18" i="116"/>
  <c r="G20" i="116" s="1"/>
  <c r="H16" i="116"/>
  <c r="H14" i="115"/>
  <c r="H16" i="115" s="1"/>
  <c r="H15" i="115"/>
  <c r="H15" i="114"/>
  <c r="H14" i="114"/>
  <c r="H16" i="114"/>
  <c r="I11" i="111"/>
  <c r="I10" i="111"/>
  <c r="I15" i="111"/>
  <c r="I14" i="111"/>
  <c r="G18" i="111"/>
  <c r="G20" i="111" s="1"/>
  <c r="G19" i="111"/>
  <c r="H16" i="111"/>
  <c r="I4" i="111"/>
  <c r="H7" i="111"/>
  <c r="H6" i="111"/>
  <c r="H19" i="118" l="1"/>
  <c r="H18" i="118"/>
  <c r="H20" i="118" s="1"/>
  <c r="H19" i="116"/>
  <c r="H18" i="116"/>
  <c r="H20" i="116" s="1"/>
  <c r="I7" i="111"/>
  <c r="I6" i="111"/>
  <c r="I16" i="111"/>
  <c r="H19" i="111"/>
  <c r="H18" i="111"/>
  <c r="H20" i="111" s="1"/>
  <c r="I19" i="111" l="1"/>
  <c r="I18" i="111"/>
  <c r="I20" i="111" s="1"/>
  <c r="C9" i="108" l="1"/>
  <c r="C7" i="108"/>
  <c r="C5" i="108"/>
  <c r="H13" i="109"/>
  <c r="G13" i="109"/>
  <c r="F13" i="109"/>
  <c r="E13" i="109"/>
  <c r="D13" i="109"/>
  <c r="C13" i="109"/>
  <c r="C12" i="109"/>
  <c r="D12" i="109" s="1"/>
  <c r="H9" i="109"/>
  <c r="G9" i="109"/>
  <c r="F9" i="109"/>
  <c r="E9" i="109"/>
  <c r="D9" i="109"/>
  <c r="C9" i="109"/>
  <c r="C10" i="109" s="1"/>
  <c r="D8" i="109"/>
  <c r="C7" i="109"/>
  <c r="C6" i="109"/>
  <c r="D4" i="109"/>
  <c r="C12" i="107"/>
  <c r="H9" i="107"/>
  <c r="H13" i="107" s="1"/>
  <c r="H17" i="107" s="1"/>
  <c r="G9" i="107"/>
  <c r="G13" i="107" s="1"/>
  <c r="G17" i="107" s="1"/>
  <c r="F9" i="107"/>
  <c r="F13" i="107" s="1"/>
  <c r="F17" i="107" s="1"/>
  <c r="E9" i="107"/>
  <c r="E13" i="107" s="1"/>
  <c r="E17" i="107" s="1"/>
  <c r="D9" i="107"/>
  <c r="D13" i="107" s="1"/>
  <c r="D17" i="107" s="1"/>
  <c r="C9" i="107"/>
  <c r="C11" i="107" s="1"/>
  <c r="D8" i="107"/>
  <c r="D10" i="107" s="1"/>
  <c r="C7" i="107"/>
  <c r="C6" i="107"/>
  <c r="D4" i="107"/>
  <c r="G9" i="106"/>
  <c r="F9" i="106"/>
  <c r="E9" i="106"/>
  <c r="D9" i="106"/>
  <c r="C9" i="106"/>
  <c r="D8" i="106"/>
  <c r="C7" i="106"/>
  <c r="C6" i="106"/>
  <c r="D4" i="106"/>
  <c r="D6" i="106" s="1"/>
  <c r="G9" i="105"/>
  <c r="F9" i="105"/>
  <c r="E9" i="105"/>
  <c r="D9" i="105"/>
  <c r="C9" i="105"/>
  <c r="D8" i="105"/>
  <c r="D11" i="105" s="1"/>
  <c r="C7" i="105"/>
  <c r="C6" i="105"/>
  <c r="D4" i="105"/>
  <c r="D6" i="105" s="1"/>
  <c r="H11" i="104"/>
  <c r="G11" i="104"/>
  <c r="F11" i="104"/>
  <c r="E11" i="104"/>
  <c r="D11" i="104"/>
  <c r="C11" i="104"/>
  <c r="H10" i="104"/>
  <c r="G10" i="104"/>
  <c r="E10" i="104"/>
  <c r="D10" i="104"/>
  <c r="C10" i="104"/>
  <c r="D9" i="104"/>
  <c r="D12" i="104" s="1"/>
  <c r="C8" i="104"/>
  <c r="C7" i="104"/>
  <c r="F5" i="104"/>
  <c r="F10" i="104" s="1"/>
  <c r="D4" i="104"/>
  <c r="D8" i="104" s="1"/>
  <c r="H13" i="103"/>
  <c r="G13" i="103"/>
  <c r="F13" i="103"/>
  <c r="E13" i="103"/>
  <c r="D13" i="103"/>
  <c r="C13" i="103"/>
  <c r="C12" i="103"/>
  <c r="C14" i="103" s="1"/>
  <c r="H9" i="103"/>
  <c r="G9" i="103"/>
  <c r="F9" i="103"/>
  <c r="E9" i="103"/>
  <c r="D9" i="103"/>
  <c r="C9" i="103"/>
  <c r="D8" i="103"/>
  <c r="D10" i="103" s="1"/>
  <c r="C7" i="103"/>
  <c r="C6" i="103"/>
  <c r="D4" i="103"/>
  <c r="D6" i="103" s="1"/>
  <c r="D12" i="101"/>
  <c r="D12" i="102"/>
  <c r="G9" i="102"/>
  <c r="G13" i="102" s="1"/>
  <c r="F9" i="102"/>
  <c r="F13" i="102" s="1"/>
  <c r="E9" i="102"/>
  <c r="E13" i="102" s="1"/>
  <c r="D9" i="102"/>
  <c r="D13" i="102" s="1"/>
  <c r="C9" i="102"/>
  <c r="D8" i="102"/>
  <c r="E8" i="102" s="1"/>
  <c r="C7" i="102"/>
  <c r="C6" i="102"/>
  <c r="D4" i="102"/>
  <c r="D6" i="102" s="1"/>
  <c r="J9" i="101"/>
  <c r="J13" i="101" s="1"/>
  <c r="I9" i="101"/>
  <c r="I13" i="101" s="1"/>
  <c r="H9" i="101"/>
  <c r="H13" i="101" s="1"/>
  <c r="G9" i="101"/>
  <c r="G13" i="101" s="1"/>
  <c r="F9" i="101"/>
  <c r="F13" i="101" s="1"/>
  <c r="E9" i="101"/>
  <c r="E13" i="101" s="1"/>
  <c r="D9" i="101"/>
  <c r="D13" i="101" s="1"/>
  <c r="C9" i="101"/>
  <c r="C11" i="101" s="1"/>
  <c r="D8" i="101"/>
  <c r="C7" i="101"/>
  <c r="C6" i="101"/>
  <c r="D4" i="101"/>
  <c r="E4" i="101" s="1"/>
  <c r="J9" i="100"/>
  <c r="I9" i="100"/>
  <c r="H9" i="100"/>
  <c r="G9" i="100"/>
  <c r="F9" i="100"/>
  <c r="E9" i="100"/>
  <c r="D9" i="100"/>
  <c r="C9" i="100"/>
  <c r="C11" i="100" s="1"/>
  <c r="D8" i="100"/>
  <c r="E8" i="100" s="1"/>
  <c r="C7" i="100"/>
  <c r="C6" i="100"/>
  <c r="D4" i="100"/>
  <c r="D7" i="100" s="1"/>
  <c r="C11" i="102" l="1"/>
  <c r="C13" i="102"/>
  <c r="C14" i="102" s="1"/>
  <c r="D14" i="102"/>
  <c r="C10" i="103"/>
  <c r="C11" i="103"/>
  <c r="C13" i="104"/>
  <c r="C12" i="104"/>
  <c r="C14" i="104" s="1"/>
  <c r="C10" i="105"/>
  <c r="C11" i="105"/>
  <c r="D11" i="106"/>
  <c r="D10" i="106"/>
  <c r="D12" i="106" s="1"/>
  <c r="E8" i="106"/>
  <c r="E10" i="106" s="1"/>
  <c r="C11" i="106"/>
  <c r="C10" i="106"/>
  <c r="C12" i="106" s="1"/>
  <c r="E4" i="107"/>
  <c r="D6" i="107"/>
  <c r="E4" i="109"/>
  <c r="D7" i="109"/>
  <c r="D6" i="109"/>
  <c r="E8" i="109"/>
  <c r="D11" i="109"/>
  <c r="D10" i="109"/>
  <c r="E12" i="109"/>
  <c r="D15" i="109"/>
  <c r="D14" i="109"/>
  <c r="C14" i="109"/>
  <c r="C16" i="109" s="1"/>
  <c r="F4" i="109"/>
  <c r="E7" i="109"/>
  <c r="E11" i="109"/>
  <c r="F8" i="109"/>
  <c r="E10" i="109"/>
  <c r="F6" i="109"/>
  <c r="G4" i="109"/>
  <c r="F7" i="109"/>
  <c r="E15" i="109"/>
  <c r="F12" i="109"/>
  <c r="E14" i="109"/>
  <c r="E6" i="109"/>
  <c r="E16" i="109" s="1"/>
  <c r="C11" i="109"/>
  <c r="C15" i="109"/>
  <c r="E7" i="107"/>
  <c r="F4" i="107"/>
  <c r="E6" i="107"/>
  <c r="D12" i="107"/>
  <c r="E8" i="107"/>
  <c r="D11" i="107"/>
  <c r="C16" i="107"/>
  <c r="D7" i="107"/>
  <c r="C10" i="107"/>
  <c r="C13" i="107"/>
  <c r="D7" i="106"/>
  <c r="E11" i="106"/>
  <c r="F8" i="106"/>
  <c r="E4" i="106"/>
  <c r="C12" i="105"/>
  <c r="E8" i="105"/>
  <c r="D10" i="105"/>
  <c r="D12" i="105" s="1"/>
  <c r="E4" i="105"/>
  <c r="D7" i="105"/>
  <c r="D7" i="104"/>
  <c r="D14" i="104"/>
  <c r="E4" i="104"/>
  <c r="D13" i="104"/>
  <c r="E9" i="104"/>
  <c r="C16" i="103"/>
  <c r="E4" i="103"/>
  <c r="D12" i="103"/>
  <c r="E8" i="103"/>
  <c r="C15" i="103"/>
  <c r="D11" i="103"/>
  <c r="D7" i="103"/>
  <c r="D14" i="101"/>
  <c r="D15" i="101"/>
  <c r="E12" i="101"/>
  <c r="C13" i="101"/>
  <c r="D15" i="102"/>
  <c r="C15" i="102"/>
  <c r="E12" i="102"/>
  <c r="C10" i="102"/>
  <c r="C16" i="102" s="1"/>
  <c r="F8" i="102"/>
  <c r="G8" i="102" s="1"/>
  <c r="G11" i="102" s="1"/>
  <c r="E10" i="102"/>
  <c r="E11" i="102"/>
  <c r="E4" i="102"/>
  <c r="D11" i="102"/>
  <c r="D10" i="102"/>
  <c r="D16" i="102" s="1"/>
  <c r="D7" i="102"/>
  <c r="D11" i="101"/>
  <c r="D7" i="101"/>
  <c r="D6" i="101"/>
  <c r="F4" i="101"/>
  <c r="E7" i="101"/>
  <c r="E6" i="101"/>
  <c r="C10" i="101"/>
  <c r="D10" i="101"/>
  <c r="E8" i="101"/>
  <c r="E4" i="100"/>
  <c r="D6" i="100"/>
  <c r="D10" i="100"/>
  <c r="E10" i="100"/>
  <c r="F8" i="100"/>
  <c r="E11" i="100"/>
  <c r="D11" i="100"/>
  <c r="C10" i="100"/>
  <c r="C12" i="100" s="1"/>
  <c r="G9" i="99"/>
  <c r="F9" i="99"/>
  <c r="E9" i="99"/>
  <c r="D9" i="99"/>
  <c r="C9" i="99"/>
  <c r="D8" i="99"/>
  <c r="D10" i="99" s="1"/>
  <c r="C7" i="99"/>
  <c r="C6" i="99"/>
  <c r="D4" i="99"/>
  <c r="H9" i="98"/>
  <c r="G9" i="98"/>
  <c r="F9" i="98"/>
  <c r="E9" i="98"/>
  <c r="D9" i="98"/>
  <c r="C9" i="98"/>
  <c r="D8" i="98"/>
  <c r="C7" i="98"/>
  <c r="C6" i="98"/>
  <c r="D4" i="98"/>
  <c r="H13" i="97"/>
  <c r="G13" i="97"/>
  <c r="F13" i="97"/>
  <c r="E13" i="97"/>
  <c r="D13" i="97"/>
  <c r="C13" i="97"/>
  <c r="C12" i="97"/>
  <c r="D12" i="97" s="1"/>
  <c r="H9" i="97"/>
  <c r="H17" i="97" s="1"/>
  <c r="G9" i="97"/>
  <c r="G17" i="97" s="1"/>
  <c r="F9" i="97"/>
  <c r="F17" i="97" s="1"/>
  <c r="E9" i="97"/>
  <c r="E17" i="97" s="1"/>
  <c r="D9" i="97"/>
  <c r="D17" i="97" s="1"/>
  <c r="C9" i="97"/>
  <c r="D8" i="97"/>
  <c r="C7" i="97"/>
  <c r="C6" i="97"/>
  <c r="D4" i="97"/>
  <c r="H13" i="96"/>
  <c r="G13" i="96"/>
  <c r="F13" i="96"/>
  <c r="E13" i="96"/>
  <c r="D13" i="96"/>
  <c r="C13" i="96"/>
  <c r="C12" i="96"/>
  <c r="C16" i="96" s="1"/>
  <c r="D16" i="96" s="1"/>
  <c r="H9" i="96"/>
  <c r="H17" i="96" s="1"/>
  <c r="G9" i="96"/>
  <c r="G17" i="96" s="1"/>
  <c r="F9" i="96"/>
  <c r="F17" i="96" s="1"/>
  <c r="E9" i="96"/>
  <c r="E17" i="96" s="1"/>
  <c r="D9" i="96"/>
  <c r="D17" i="96" s="1"/>
  <c r="C9" i="96"/>
  <c r="D8" i="96"/>
  <c r="C7" i="96"/>
  <c r="C6" i="96"/>
  <c r="D4" i="96"/>
  <c r="C7" i="95"/>
  <c r="C8" i="95" s="1"/>
  <c r="C6" i="95"/>
  <c r="C5" i="95"/>
  <c r="H13" i="94"/>
  <c r="G13" i="94"/>
  <c r="F13" i="94"/>
  <c r="E13" i="94"/>
  <c r="D13" i="94"/>
  <c r="C13" i="94"/>
  <c r="C12" i="94"/>
  <c r="C16" i="94" s="1"/>
  <c r="H9" i="94"/>
  <c r="H17" i="94" s="1"/>
  <c r="G9" i="94"/>
  <c r="G17" i="94" s="1"/>
  <c r="F9" i="94"/>
  <c r="F17" i="94" s="1"/>
  <c r="E9" i="94"/>
  <c r="E17" i="94" s="1"/>
  <c r="D9" i="94"/>
  <c r="D17" i="94" s="1"/>
  <c r="C9" i="94"/>
  <c r="C11" i="94" s="1"/>
  <c r="D8" i="94"/>
  <c r="C7" i="94"/>
  <c r="C6" i="94"/>
  <c r="D4" i="94"/>
  <c r="H13" i="93"/>
  <c r="G13" i="93"/>
  <c r="F13" i="93"/>
  <c r="E13" i="93"/>
  <c r="D13" i="93"/>
  <c r="C13" i="93"/>
  <c r="C12" i="93"/>
  <c r="H9" i="93"/>
  <c r="H17" i="93" s="1"/>
  <c r="G9" i="93"/>
  <c r="G17" i="93" s="1"/>
  <c r="F9" i="93"/>
  <c r="F17" i="93" s="1"/>
  <c r="E9" i="93"/>
  <c r="E17" i="93" s="1"/>
  <c r="D9" i="93"/>
  <c r="D17" i="93" s="1"/>
  <c r="C9" i="93"/>
  <c r="D8" i="93"/>
  <c r="C7" i="93"/>
  <c r="C6" i="93"/>
  <c r="D4" i="93"/>
  <c r="H13" i="92"/>
  <c r="G13" i="92"/>
  <c r="F13" i="92"/>
  <c r="E13" i="92"/>
  <c r="D13" i="92"/>
  <c r="C13" i="92"/>
  <c r="C12" i="92"/>
  <c r="H9" i="92"/>
  <c r="H17" i="92" s="1"/>
  <c r="G9" i="92"/>
  <c r="G17" i="92" s="1"/>
  <c r="F9" i="92"/>
  <c r="F17" i="92" s="1"/>
  <c r="E9" i="92"/>
  <c r="E17" i="92" s="1"/>
  <c r="D9" i="92"/>
  <c r="D17" i="92" s="1"/>
  <c r="C9" i="92"/>
  <c r="D8" i="92"/>
  <c r="C7" i="92"/>
  <c r="C6" i="92"/>
  <c r="D4" i="92"/>
  <c r="H13" i="91"/>
  <c r="G13" i="91"/>
  <c r="F13" i="91"/>
  <c r="E13" i="91"/>
  <c r="D13" i="91"/>
  <c r="C13" i="91"/>
  <c r="C12" i="91"/>
  <c r="C16" i="91" s="1"/>
  <c r="H9" i="91"/>
  <c r="H17" i="91" s="1"/>
  <c r="G9" i="91"/>
  <c r="G17" i="91" s="1"/>
  <c r="F9" i="91"/>
  <c r="F17" i="91" s="1"/>
  <c r="E9" i="91"/>
  <c r="E17" i="91" s="1"/>
  <c r="D9" i="91"/>
  <c r="C9" i="91"/>
  <c r="D8" i="91"/>
  <c r="E8" i="91" s="1"/>
  <c r="E10" i="91" s="1"/>
  <c r="C7" i="91"/>
  <c r="C6" i="91"/>
  <c r="D4" i="91"/>
  <c r="H13" i="90"/>
  <c r="G13" i="90"/>
  <c r="F13" i="90"/>
  <c r="E13" i="90"/>
  <c r="D13" i="90"/>
  <c r="C13" i="90"/>
  <c r="C12" i="90"/>
  <c r="H9" i="90"/>
  <c r="H17" i="90" s="1"/>
  <c r="G9" i="90"/>
  <c r="G17" i="90" s="1"/>
  <c r="F9" i="90"/>
  <c r="F17" i="90" s="1"/>
  <c r="E9" i="90"/>
  <c r="E17" i="90" s="1"/>
  <c r="D9" i="90"/>
  <c r="D17" i="90" s="1"/>
  <c r="C9" i="90"/>
  <c r="C11" i="90" s="1"/>
  <c r="D8" i="90"/>
  <c r="C7" i="90"/>
  <c r="C6" i="90"/>
  <c r="D4" i="90"/>
  <c r="D7" i="90" s="1"/>
  <c r="C12" i="89"/>
  <c r="H9" i="89"/>
  <c r="H13" i="89" s="1"/>
  <c r="H17" i="89" s="1"/>
  <c r="G9" i="89"/>
  <c r="G13" i="89" s="1"/>
  <c r="G17" i="89" s="1"/>
  <c r="F9" i="89"/>
  <c r="F13" i="89" s="1"/>
  <c r="F17" i="89" s="1"/>
  <c r="E9" i="89"/>
  <c r="E13" i="89" s="1"/>
  <c r="E17" i="89" s="1"/>
  <c r="D9" i="89"/>
  <c r="D13" i="89" s="1"/>
  <c r="D17" i="89" s="1"/>
  <c r="C9" i="89"/>
  <c r="D8" i="89"/>
  <c r="C7" i="89"/>
  <c r="C6" i="89"/>
  <c r="D4" i="89"/>
  <c r="C12" i="88"/>
  <c r="H9" i="88"/>
  <c r="H13" i="88" s="1"/>
  <c r="H17" i="88" s="1"/>
  <c r="G9" i="88"/>
  <c r="G13" i="88" s="1"/>
  <c r="G17" i="88" s="1"/>
  <c r="F9" i="88"/>
  <c r="F13" i="88" s="1"/>
  <c r="F17" i="88" s="1"/>
  <c r="E9" i="88"/>
  <c r="E13" i="88" s="1"/>
  <c r="E17" i="88" s="1"/>
  <c r="D9" i="88"/>
  <c r="D13" i="88" s="1"/>
  <c r="D17" i="88" s="1"/>
  <c r="C9" i="88"/>
  <c r="C11" i="88" s="1"/>
  <c r="D8" i="88"/>
  <c r="D11" i="88" s="1"/>
  <c r="C7" i="88"/>
  <c r="C6" i="88"/>
  <c r="D4" i="88"/>
  <c r="D6" i="88" s="1"/>
  <c r="C12" i="87"/>
  <c r="H9" i="87"/>
  <c r="H13" i="87" s="1"/>
  <c r="H17" i="87" s="1"/>
  <c r="G9" i="87"/>
  <c r="G13" i="87" s="1"/>
  <c r="G17" i="87" s="1"/>
  <c r="F9" i="87"/>
  <c r="F13" i="87" s="1"/>
  <c r="F17" i="87" s="1"/>
  <c r="E9" i="87"/>
  <c r="E13" i="87" s="1"/>
  <c r="E17" i="87" s="1"/>
  <c r="D9" i="87"/>
  <c r="D13" i="87" s="1"/>
  <c r="D17" i="87" s="1"/>
  <c r="C9" i="87"/>
  <c r="D8" i="87"/>
  <c r="E8" i="87" s="1"/>
  <c r="F8" i="87" s="1"/>
  <c r="C7" i="87"/>
  <c r="C6" i="87"/>
  <c r="D4" i="87"/>
  <c r="C12" i="86"/>
  <c r="C16" i="86" s="1"/>
  <c r="H9" i="86"/>
  <c r="H13" i="86" s="1"/>
  <c r="H17" i="86" s="1"/>
  <c r="G9" i="86"/>
  <c r="G13" i="86" s="1"/>
  <c r="G17" i="86" s="1"/>
  <c r="F9" i="86"/>
  <c r="F13" i="86" s="1"/>
  <c r="F17" i="86" s="1"/>
  <c r="E9" i="86"/>
  <c r="E13" i="86" s="1"/>
  <c r="E17" i="86" s="1"/>
  <c r="D9" i="86"/>
  <c r="D13" i="86" s="1"/>
  <c r="D17" i="86" s="1"/>
  <c r="C9" i="86"/>
  <c r="D8" i="86"/>
  <c r="D11" i="86" s="1"/>
  <c r="C7" i="86"/>
  <c r="C6" i="86"/>
  <c r="D4" i="86"/>
  <c r="E4" i="86" s="1"/>
  <c r="H13" i="84"/>
  <c r="H21" i="84" s="1"/>
  <c r="G13" i="84"/>
  <c r="G21" i="84" s="1"/>
  <c r="F13" i="84"/>
  <c r="F21" i="84" s="1"/>
  <c r="E13" i="84"/>
  <c r="E21" i="84" s="1"/>
  <c r="D13" i="84"/>
  <c r="D21" i="84" s="1"/>
  <c r="C13" i="84"/>
  <c r="C21" i="84" s="1"/>
  <c r="C12" i="84"/>
  <c r="C16" i="84" s="1"/>
  <c r="C20" i="84" s="1"/>
  <c r="H9" i="84"/>
  <c r="H17" i="84" s="1"/>
  <c r="G9" i="84"/>
  <c r="G17" i="84" s="1"/>
  <c r="F9" i="84"/>
  <c r="F17" i="84" s="1"/>
  <c r="E9" i="84"/>
  <c r="E17" i="84" s="1"/>
  <c r="D9" i="84"/>
  <c r="D17" i="84" s="1"/>
  <c r="C9" i="84"/>
  <c r="D8" i="84"/>
  <c r="C7" i="84"/>
  <c r="C6" i="84"/>
  <c r="D4" i="84"/>
  <c r="E4" i="84" s="1"/>
  <c r="H13" i="83"/>
  <c r="H21" i="83" s="1"/>
  <c r="G13" i="83"/>
  <c r="G21" i="83" s="1"/>
  <c r="F13" i="83"/>
  <c r="F21" i="83" s="1"/>
  <c r="E13" i="83"/>
  <c r="E21" i="83" s="1"/>
  <c r="D13" i="83"/>
  <c r="D21" i="83" s="1"/>
  <c r="C13" i="83"/>
  <c r="C21" i="83" s="1"/>
  <c r="C12" i="83"/>
  <c r="H9" i="83"/>
  <c r="H17" i="83" s="1"/>
  <c r="G9" i="83"/>
  <c r="G17" i="83" s="1"/>
  <c r="F9" i="83"/>
  <c r="F17" i="83" s="1"/>
  <c r="E9" i="83"/>
  <c r="E17" i="83" s="1"/>
  <c r="D9" i="83"/>
  <c r="D17" i="83" s="1"/>
  <c r="C9" i="83"/>
  <c r="D8" i="83"/>
  <c r="C7" i="83"/>
  <c r="C6" i="83"/>
  <c r="D4" i="83"/>
  <c r="H13" i="82"/>
  <c r="G13" i="82"/>
  <c r="F13" i="82"/>
  <c r="E13" i="82"/>
  <c r="D13" i="82"/>
  <c r="C13" i="82"/>
  <c r="C12" i="82"/>
  <c r="H9" i="82"/>
  <c r="H17" i="82" s="1"/>
  <c r="G9" i="82"/>
  <c r="G17" i="82" s="1"/>
  <c r="F9" i="82"/>
  <c r="F17" i="82" s="1"/>
  <c r="E9" i="82"/>
  <c r="E17" i="82" s="1"/>
  <c r="D9" i="82"/>
  <c r="C9" i="82"/>
  <c r="D8" i="82"/>
  <c r="C7" i="82"/>
  <c r="C6" i="82"/>
  <c r="D4" i="82"/>
  <c r="H13" i="81"/>
  <c r="G13" i="81"/>
  <c r="F13" i="81"/>
  <c r="E13" i="81"/>
  <c r="D13" i="81"/>
  <c r="C13" i="81"/>
  <c r="C12" i="81"/>
  <c r="H9" i="81"/>
  <c r="H17" i="81" s="1"/>
  <c r="G9" i="81"/>
  <c r="G17" i="81" s="1"/>
  <c r="F9" i="81"/>
  <c r="F17" i="81" s="1"/>
  <c r="E9" i="81"/>
  <c r="E17" i="81" s="1"/>
  <c r="D9" i="81"/>
  <c r="D17" i="81" s="1"/>
  <c r="C9" i="81"/>
  <c r="D8" i="81"/>
  <c r="C7" i="81"/>
  <c r="C6" i="81"/>
  <c r="D4" i="81"/>
  <c r="H13" i="80"/>
  <c r="G13" i="80"/>
  <c r="F13" i="80"/>
  <c r="E13" i="80"/>
  <c r="D13" i="80"/>
  <c r="C13" i="80"/>
  <c r="C12" i="80"/>
  <c r="C16" i="80" s="1"/>
  <c r="H9" i="80"/>
  <c r="H17" i="80" s="1"/>
  <c r="G9" i="80"/>
  <c r="G17" i="80" s="1"/>
  <c r="F9" i="80"/>
  <c r="F17" i="80" s="1"/>
  <c r="E9" i="80"/>
  <c r="E17" i="80" s="1"/>
  <c r="D9" i="80"/>
  <c r="D17" i="80" s="1"/>
  <c r="C9" i="80"/>
  <c r="D8" i="80"/>
  <c r="D11" i="80" s="1"/>
  <c r="C7" i="80"/>
  <c r="C6" i="80"/>
  <c r="D4" i="80"/>
  <c r="E4" i="80" s="1"/>
  <c r="H13" i="79"/>
  <c r="G13" i="79"/>
  <c r="F13" i="79"/>
  <c r="E13" i="79"/>
  <c r="D13" i="79"/>
  <c r="C13" i="79"/>
  <c r="C12" i="79"/>
  <c r="C14" i="79" s="1"/>
  <c r="H9" i="79"/>
  <c r="G9" i="79"/>
  <c r="F9" i="79"/>
  <c r="E9" i="79"/>
  <c r="D9" i="79"/>
  <c r="C9" i="79"/>
  <c r="D8" i="79"/>
  <c r="C7" i="79"/>
  <c r="C6" i="79"/>
  <c r="D4" i="79"/>
  <c r="D6" i="79" s="1"/>
  <c r="H13" i="78"/>
  <c r="G13" i="78"/>
  <c r="F13" i="78"/>
  <c r="E13" i="78"/>
  <c r="D13" i="78"/>
  <c r="C13" i="78"/>
  <c r="C12" i="78"/>
  <c r="H9" i="78"/>
  <c r="G9" i="78"/>
  <c r="F9" i="78"/>
  <c r="E9" i="78"/>
  <c r="D9" i="78"/>
  <c r="C9" i="78"/>
  <c r="C10" i="78" s="1"/>
  <c r="D8" i="78"/>
  <c r="C7" i="78"/>
  <c r="C6" i="78"/>
  <c r="D4" i="78"/>
  <c r="H13" i="77"/>
  <c r="G13" i="77"/>
  <c r="F13" i="77"/>
  <c r="E13" i="77"/>
  <c r="D13" i="77"/>
  <c r="C13" i="77"/>
  <c r="C12" i="77"/>
  <c r="C14" i="77" s="1"/>
  <c r="H9" i="77"/>
  <c r="H17" i="77" s="1"/>
  <c r="G9" i="77"/>
  <c r="G17" i="77" s="1"/>
  <c r="F9" i="77"/>
  <c r="F17" i="77" s="1"/>
  <c r="E9" i="77"/>
  <c r="E17" i="77" s="1"/>
  <c r="D9" i="77"/>
  <c r="D17" i="77" s="1"/>
  <c r="C9" i="77"/>
  <c r="D8" i="77"/>
  <c r="C7" i="77"/>
  <c r="C6" i="77"/>
  <c r="D4" i="77"/>
  <c r="C12" i="76"/>
  <c r="D12" i="76" s="1"/>
  <c r="E12" i="76" s="1"/>
  <c r="H9" i="76"/>
  <c r="H13" i="76" s="1"/>
  <c r="G9" i="76"/>
  <c r="G13" i="76" s="1"/>
  <c r="F9" i="76"/>
  <c r="F13" i="76" s="1"/>
  <c r="E9" i="76"/>
  <c r="D9" i="76"/>
  <c r="D13" i="76" s="1"/>
  <c r="C9" i="76"/>
  <c r="C10" i="76" s="1"/>
  <c r="D8" i="76"/>
  <c r="E8" i="76" s="1"/>
  <c r="F8" i="76" s="1"/>
  <c r="C7" i="76"/>
  <c r="C6" i="76"/>
  <c r="D4" i="76"/>
  <c r="H13" i="75"/>
  <c r="G13" i="75"/>
  <c r="F13" i="75"/>
  <c r="E13" i="75"/>
  <c r="D13" i="75"/>
  <c r="C13" i="75"/>
  <c r="C12" i="75"/>
  <c r="C15" i="75" s="1"/>
  <c r="H9" i="75"/>
  <c r="H17" i="75" s="1"/>
  <c r="G9" i="75"/>
  <c r="G17" i="75" s="1"/>
  <c r="F9" i="75"/>
  <c r="F17" i="75" s="1"/>
  <c r="E9" i="75"/>
  <c r="D9" i="75"/>
  <c r="D17" i="75" s="1"/>
  <c r="C9" i="75"/>
  <c r="D8" i="75"/>
  <c r="C7" i="75"/>
  <c r="C6" i="75"/>
  <c r="D4" i="75"/>
  <c r="D6" i="75" s="1"/>
  <c r="F9" i="74"/>
  <c r="E9" i="74"/>
  <c r="D9" i="74"/>
  <c r="C9" i="74"/>
  <c r="D8" i="74"/>
  <c r="C7" i="74"/>
  <c r="C6" i="74"/>
  <c r="D4" i="74"/>
  <c r="D7" i="74" s="1"/>
  <c r="F9" i="73"/>
  <c r="E9" i="73"/>
  <c r="D9" i="73"/>
  <c r="C9" i="73"/>
  <c r="D8" i="73"/>
  <c r="E8" i="73" s="1"/>
  <c r="C7" i="73"/>
  <c r="C6" i="73"/>
  <c r="D4" i="73"/>
  <c r="D6" i="73" s="1"/>
  <c r="F9" i="72"/>
  <c r="E9" i="72"/>
  <c r="D9" i="72"/>
  <c r="C9" i="72"/>
  <c r="C11" i="72" s="1"/>
  <c r="D8" i="72"/>
  <c r="C7" i="72"/>
  <c r="C6" i="72"/>
  <c r="D4" i="72"/>
  <c r="C12" i="71"/>
  <c r="C16" i="71" s="1"/>
  <c r="J9" i="71"/>
  <c r="J13" i="71" s="1"/>
  <c r="J17" i="71" s="1"/>
  <c r="I9" i="71"/>
  <c r="I13" i="71" s="1"/>
  <c r="I17" i="71" s="1"/>
  <c r="H9" i="71"/>
  <c r="H13" i="71" s="1"/>
  <c r="H17" i="71" s="1"/>
  <c r="G9" i="71"/>
  <c r="G13" i="71" s="1"/>
  <c r="G17" i="71" s="1"/>
  <c r="F9" i="71"/>
  <c r="F13" i="71" s="1"/>
  <c r="F17" i="71" s="1"/>
  <c r="E9" i="71"/>
  <c r="E13" i="71" s="1"/>
  <c r="E17" i="71" s="1"/>
  <c r="D9" i="71"/>
  <c r="D13" i="71" s="1"/>
  <c r="D17" i="71" s="1"/>
  <c r="C9" i="71"/>
  <c r="C10" i="71" s="1"/>
  <c r="D8" i="71"/>
  <c r="C7" i="71"/>
  <c r="C6" i="71"/>
  <c r="D4" i="71"/>
  <c r="E4" i="71" s="1"/>
  <c r="E7" i="71" s="1"/>
  <c r="C12" i="70"/>
  <c r="G9" i="70"/>
  <c r="G13" i="70" s="1"/>
  <c r="G17" i="70" s="1"/>
  <c r="F9" i="70"/>
  <c r="F13" i="70" s="1"/>
  <c r="F17" i="70" s="1"/>
  <c r="E9" i="70"/>
  <c r="E13" i="70" s="1"/>
  <c r="E17" i="70" s="1"/>
  <c r="D9" i="70"/>
  <c r="D13" i="70" s="1"/>
  <c r="C9" i="70"/>
  <c r="C13" i="70" s="1"/>
  <c r="D8" i="70"/>
  <c r="C7" i="70"/>
  <c r="C6" i="70"/>
  <c r="D4" i="70"/>
  <c r="C12" i="69"/>
  <c r="H9" i="69"/>
  <c r="H13" i="69" s="1"/>
  <c r="G9" i="69"/>
  <c r="G13" i="69" s="1"/>
  <c r="F9" i="69"/>
  <c r="F13" i="69" s="1"/>
  <c r="E9" i="69"/>
  <c r="E13" i="69" s="1"/>
  <c r="D9" i="69"/>
  <c r="D13" i="69" s="1"/>
  <c r="C9" i="69"/>
  <c r="D8" i="69"/>
  <c r="D11" i="69" s="1"/>
  <c r="C7" i="69"/>
  <c r="C6" i="69"/>
  <c r="D4" i="69"/>
  <c r="D7" i="69" s="1"/>
  <c r="C12" i="68"/>
  <c r="D12" i="68" s="1"/>
  <c r="E12" i="68" s="1"/>
  <c r="H9" i="68"/>
  <c r="H13" i="68" s="1"/>
  <c r="G9" i="68"/>
  <c r="G13" i="68" s="1"/>
  <c r="F9" i="68"/>
  <c r="F13" i="68" s="1"/>
  <c r="E9" i="68"/>
  <c r="E13" i="68" s="1"/>
  <c r="D9" i="68"/>
  <c r="D13" i="68" s="1"/>
  <c r="C9" i="68"/>
  <c r="D8" i="68"/>
  <c r="C7" i="68"/>
  <c r="C6" i="68"/>
  <c r="D4" i="68"/>
  <c r="H13" i="67"/>
  <c r="G13" i="67"/>
  <c r="F13" i="67"/>
  <c r="E13" i="67"/>
  <c r="D13" i="67"/>
  <c r="C13" i="67"/>
  <c r="C12" i="67"/>
  <c r="H9" i="67"/>
  <c r="H17" i="67" s="1"/>
  <c r="G9" i="67"/>
  <c r="G17" i="67" s="1"/>
  <c r="F9" i="67"/>
  <c r="F17" i="67" s="1"/>
  <c r="E9" i="67"/>
  <c r="E17" i="67" s="1"/>
  <c r="D9" i="67"/>
  <c r="D17" i="67" s="1"/>
  <c r="C9" i="67"/>
  <c r="C10" i="67" s="1"/>
  <c r="D8" i="67"/>
  <c r="C7" i="67"/>
  <c r="C6" i="67"/>
  <c r="D4" i="67"/>
  <c r="H9" i="66"/>
  <c r="G9" i="66"/>
  <c r="F9" i="66"/>
  <c r="E9" i="66"/>
  <c r="D9" i="66"/>
  <c r="C9" i="66"/>
  <c r="C11" i="66" s="1"/>
  <c r="D8" i="66"/>
  <c r="E8" i="66" s="1"/>
  <c r="C7" i="66"/>
  <c r="C6" i="66"/>
  <c r="D4" i="66"/>
  <c r="D6" i="66" s="1"/>
  <c r="H11" i="65"/>
  <c r="G11" i="65"/>
  <c r="F11" i="65"/>
  <c r="E11" i="65"/>
  <c r="D11" i="65"/>
  <c r="C11" i="65"/>
  <c r="C12" i="65" s="1"/>
  <c r="H10" i="65"/>
  <c r="G10" i="65"/>
  <c r="E10" i="65"/>
  <c r="D10" i="65"/>
  <c r="C10" i="65"/>
  <c r="D9" i="65"/>
  <c r="E9" i="65" s="1"/>
  <c r="C8" i="65"/>
  <c r="C7" i="65"/>
  <c r="F5" i="65"/>
  <c r="F10" i="65" s="1"/>
  <c r="D4" i="65"/>
  <c r="C12" i="64"/>
  <c r="H9" i="64"/>
  <c r="H13" i="64" s="1"/>
  <c r="H17" i="64" s="1"/>
  <c r="G9" i="64"/>
  <c r="G13" i="64" s="1"/>
  <c r="G17" i="64" s="1"/>
  <c r="F9" i="64"/>
  <c r="F13" i="64" s="1"/>
  <c r="F17" i="64" s="1"/>
  <c r="E9" i="64"/>
  <c r="E13" i="64" s="1"/>
  <c r="E17" i="64" s="1"/>
  <c r="D9" i="64"/>
  <c r="C9" i="64"/>
  <c r="C11" i="64" s="1"/>
  <c r="D8" i="64"/>
  <c r="C7" i="64"/>
  <c r="C6" i="64"/>
  <c r="D4" i="64"/>
  <c r="D6" i="64" s="1"/>
  <c r="G9" i="63"/>
  <c r="F9" i="63"/>
  <c r="E9" i="63"/>
  <c r="D9" i="63"/>
  <c r="C9" i="63"/>
  <c r="C11" i="63" s="1"/>
  <c r="D8" i="63"/>
  <c r="E8" i="63" s="1"/>
  <c r="C7" i="63"/>
  <c r="C6" i="63"/>
  <c r="D4" i="63"/>
  <c r="G9" i="62"/>
  <c r="F9" i="62"/>
  <c r="E9" i="62"/>
  <c r="D9" i="62"/>
  <c r="C9" i="62"/>
  <c r="D8" i="62"/>
  <c r="E8" i="62" s="1"/>
  <c r="E11" i="62" s="1"/>
  <c r="C7" i="62"/>
  <c r="C6" i="62"/>
  <c r="D4" i="62"/>
  <c r="G9" i="60"/>
  <c r="F9" i="60"/>
  <c r="E9" i="60"/>
  <c r="D9" i="60"/>
  <c r="C9" i="60"/>
  <c r="D8" i="60"/>
  <c r="E8" i="60" s="1"/>
  <c r="C7" i="60"/>
  <c r="C6" i="60"/>
  <c r="D4" i="60"/>
  <c r="D6" i="60" s="1"/>
  <c r="G9" i="59"/>
  <c r="F9" i="59"/>
  <c r="E9" i="59"/>
  <c r="D9" i="59"/>
  <c r="C9" i="59"/>
  <c r="C11" i="59" s="1"/>
  <c r="D8" i="59"/>
  <c r="C7" i="59"/>
  <c r="C6" i="59"/>
  <c r="D4" i="59"/>
  <c r="G9" i="58"/>
  <c r="F9" i="58"/>
  <c r="E9" i="58"/>
  <c r="D9" i="58"/>
  <c r="C9" i="58"/>
  <c r="D8" i="58"/>
  <c r="C7" i="58"/>
  <c r="C6" i="58"/>
  <c r="D4" i="58"/>
  <c r="G9" i="57"/>
  <c r="F9" i="57"/>
  <c r="E9" i="57"/>
  <c r="D9" i="57"/>
  <c r="C9" i="57"/>
  <c r="D8" i="57"/>
  <c r="E8" i="57" s="1"/>
  <c r="E10" i="57" s="1"/>
  <c r="C7" i="57"/>
  <c r="C6" i="57"/>
  <c r="D4" i="57"/>
  <c r="G9" i="56"/>
  <c r="F9" i="56"/>
  <c r="E9" i="56"/>
  <c r="D9" i="56"/>
  <c r="C9" i="56"/>
  <c r="D8" i="56"/>
  <c r="C7" i="56"/>
  <c r="C6" i="56"/>
  <c r="D4" i="56"/>
  <c r="G9" i="55"/>
  <c r="F9" i="55"/>
  <c r="E9" i="55"/>
  <c r="D9" i="55"/>
  <c r="C9" i="55"/>
  <c r="D8" i="55"/>
  <c r="E8" i="55" s="1"/>
  <c r="C7" i="55"/>
  <c r="C6" i="55"/>
  <c r="D4" i="55"/>
  <c r="G9" i="54"/>
  <c r="F9" i="54"/>
  <c r="E9" i="54"/>
  <c r="D9" i="54"/>
  <c r="C9" i="54"/>
  <c r="D8" i="54"/>
  <c r="D10" i="54" s="1"/>
  <c r="C7" i="54"/>
  <c r="C6" i="54"/>
  <c r="D4" i="54"/>
  <c r="G9" i="53"/>
  <c r="F9" i="53"/>
  <c r="E9" i="53"/>
  <c r="D9" i="53"/>
  <c r="C9" i="53"/>
  <c r="D8" i="53"/>
  <c r="C7" i="53"/>
  <c r="C6" i="53"/>
  <c r="D4" i="53"/>
  <c r="G9" i="52"/>
  <c r="F9" i="52"/>
  <c r="E9" i="52"/>
  <c r="D9" i="52"/>
  <c r="C9" i="52"/>
  <c r="D8" i="52"/>
  <c r="C7" i="52"/>
  <c r="C6" i="52"/>
  <c r="D4" i="52"/>
  <c r="G9" i="51"/>
  <c r="F9" i="51"/>
  <c r="E9" i="51"/>
  <c r="D9" i="51"/>
  <c r="C9" i="51"/>
  <c r="C11" i="51" s="1"/>
  <c r="D8" i="51"/>
  <c r="D10" i="51" s="1"/>
  <c r="C7" i="51"/>
  <c r="C6" i="51"/>
  <c r="D4" i="51"/>
  <c r="E4" i="51" s="1"/>
  <c r="F4" i="51" s="1"/>
  <c r="C7" i="50"/>
  <c r="C6" i="50"/>
  <c r="C8" i="50" s="1"/>
  <c r="D4" i="50"/>
  <c r="F9" i="49"/>
  <c r="E9" i="49"/>
  <c r="D9" i="49"/>
  <c r="C9" i="49"/>
  <c r="D8" i="49"/>
  <c r="C7" i="49"/>
  <c r="C6" i="49"/>
  <c r="D4" i="49"/>
  <c r="H13" i="48"/>
  <c r="G13" i="48"/>
  <c r="F13" i="48"/>
  <c r="E13" i="48"/>
  <c r="D13" i="48"/>
  <c r="C13" i="48"/>
  <c r="C12" i="48"/>
  <c r="H9" i="48"/>
  <c r="G9" i="48"/>
  <c r="F9" i="48"/>
  <c r="E9" i="48"/>
  <c r="D9" i="48"/>
  <c r="C9" i="48"/>
  <c r="C11" i="48" s="1"/>
  <c r="D8" i="48"/>
  <c r="C7" i="48"/>
  <c r="C6" i="48"/>
  <c r="D4" i="48"/>
  <c r="D7" i="48" s="1"/>
  <c r="C12" i="47"/>
  <c r="D12" i="47" s="1"/>
  <c r="H9" i="47"/>
  <c r="H13" i="47" s="1"/>
  <c r="G9" i="47"/>
  <c r="G13" i="47" s="1"/>
  <c r="F9" i="47"/>
  <c r="F13" i="47" s="1"/>
  <c r="E9" i="47"/>
  <c r="E13" i="47" s="1"/>
  <c r="D9" i="47"/>
  <c r="D13" i="47" s="1"/>
  <c r="C9" i="47"/>
  <c r="C10" i="47" s="1"/>
  <c r="D8" i="47"/>
  <c r="D11" i="47" s="1"/>
  <c r="C7" i="47"/>
  <c r="C6" i="47"/>
  <c r="D4" i="47"/>
  <c r="C12" i="46"/>
  <c r="H9" i="46"/>
  <c r="H13" i="46" s="1"/>
  <c r="H17" i="46" s="1"/>
  <c r="G9" i="46"/>
  <c r="G13" i="46" s="1"/>
  <c r="G17" i="46" s="1"/>
  <c r="F9" i="46"/>
  <c r="F13" i="46" s="1"/>
  <c r="F17" i="46" s="1"/>
  <c r="E9" i="46"/>
  <c r="E13" i="46" s="1"/>
  <c r="E17" i="46" s="1"/>
  <c r="D9" i="46"/>
  <c r="D13" i="46" s="1"/>
  <c r="D17" i="46" s="1"/>
  <c r="C9" i="46"/>
  <c r="C13" i="46" s="1"/>
  <c r="D8" i="46"/>
  <c r="C7" i="46"/>
  <c r="C6" i="46"/>
  <c r="D4" i="46"/>
  <c r="D6" i="46" s="1"/>
  <c r="H13" i="45"/>
  <c r="G13" i="45"/>
  <c r="F13" i="45"/>
  <c r="E13" i="45"/>
  <c r="D13" i="45"/>
  <c r="C13" i="45"/>
  <c r="C12" i="45"/>
  <c r="H9" i="45"/>
  <c r="H17" i="45" s="1"/>
  <c r="G9" i="45"/>
  <c r="G17" i="45" s="1"/>
  <c r="F9" i="45"/>
  <c r="F17" i="45" s="1"/>
  <c r="E9" i="45"/>
  <c r="E17" i="45" s="1"/>
  <c r="D9" i="45"/>
  <c r="D17" i="45" s="1"/>
  <c r="C9" i="45"/>
  <c r="D8" i="45"/>
  <c r="D10" i="45" s="1"/>
  <c r="C7" i="45"/>
  <c r="C6" i="45"/>
  <c r="D4" i="45"/>
  <c r="H13" i="44"/>
  <c r="G13" i="44"/>
  <c r="F13" i="44"/>
  <c r="E13" i="44"/>
  <c r="D13" i="44"/>
  <c r="C13" i="44"/>
  <c r="C12" i="44"/>
  <c r="D12" i="44" s="1"/>
  <c r="H9" i="44"/>
  <c r="G9" i="44"/>
  <c r="F9" i="44"/>
  <c r="E9" i="44"/>
  <c r="D9" i="44"/>
  <c r="C9" i="44"/>
  <c r="C10" i="44" s="1"/>
  <c r="D8" i="44"/>
  <c r="C7" i="44"/>
  <c r="C6" i="44"/>
  <c r="D4" i="44"/>
  <c r="H13" i="43"/>
  <c r="G13" i="43"/>
  <c r="F13" i="43"/>
  <c r="E13" i="43"/>
  <c r="D13" i="43"/>
  <c r="C13" i="43"/>
  <c r="C12" i="43"/>
  <c r="C14" i="43" s="1"/>
  <c r="H9" i="43"/>
  <c r="H17" i="43" s="1"/>
  <c r="G9" i="43"/>
  <c r="G17" i="43" s="1"/>
  <c r="F9" i="43"/>
  <c r="F17" i="43" s="1"/>
  <c r="E9" i="43"/>
  <c r="E17" i="43" s="1"/>
  <c r="D9" i="43"/>
  <c r="D17" i="43" s="1"/>
  <c r="C9" i="43"/>
  <c r="D8" i="43"/>
  <c r="D11" i="43" s="1"/>
  <c r="C7" i="43"/>
  <c r="C6" i="43"/>
  <c r="D4" i="43"/>
  <c r="E4" i="43" s="1"/>
  <c r="E6" i="43" s="1"/>
  <c r="H13" i="42"/>
  <c r="G13" i="42"/>
  <c r="F13" i="42"/>
  <c r="E13" i="42"/>
  <c r="D13" i="42"/>
  <c r="C13" i="42"/>
  <c r="C12" i="42"/>
  <c r="H9" i="42"/>
  <c r="G9" i="42"/>
  <c r="F9" i="42"/>
  <c r="E9" i="42"/>
  <c r="D9" i="42"/>
  <c r="C9" i="42"/>
  <c r="C10" i="42" s="1"/>
  <c r="D8" i="42"/>
  <c r="C7" i="42"/>
  <c r="C6" i="42"/>
  <c r="D4" i="42"/>
  <c r="C12" i="41"/>
  <c r="H9" i="41"/>
  <c r="H13" i="41" s="1"/>
  <c r="G9" i="41"/>
  <c r="G13" i="41" s="1"/>
  <c r="F9" i="41"/>
  <c r="F13" i="41" s="1"/>
  <c r="E9" i="41"/>
  <c r="E13" i="41" s="1"/>
  <c r="D9" i="41"/>
  <c r="D13" i="41" s="1"/>
  <c r="C9" i="41"/>
  <c r="C13" i="41" s="1"/>
  <c r="D8" i="41"/>
  <c r="D11" i="41" s="1"/>
  <c r="C7" i="41"/>
  <c r="C6" i="41"/>
  <c r="D4" i="41"/>
  <c r="D6" i="41" s="1"/>
  <c r="C12" i="40"/>
  <c r="D12" i="40" s="1"/>
  <c r="E12" i="40" s="1"/>
  <c r="F12" i="40" s="1"/>
  <c r="H9" i="40"/>
  <c r="H13" i="40" s="1"/>
  <c r="G9" i="40"/>
  <c r="G13" i="40" s="1"/>
  <c r="F9" i="40"/>
  <c r="F13" i="40" s="1"/>
  <c r="E9" i="40"/>
  <c r="E13" i="40" s="1"/>
  <c r="D9" i="40"/>
  <c r="D13" i="40" s="1"/>
  <c r="D14" i="40" s="1"/>
  <c r="C9" i="40"/>
  <c r="C13" i="40" s="1"/>
  <c r="D8" i="40"/>
  <c r="C7" i="40"/>
  <c r="C6" i="40"/>
  <c r="D4" i="40"/>
  <c r="H13" i="39"/>
  <c r="G13" i="39"/>
  <c r="F13" i="39"/>
  <c r="E13" i="39"/>
  <c r="D13" i="39"/>
  <c r="C13" i="39"/>
  <c r="C12" i="39"/>
  <c r="H9" i="39"/>
  <c r="G9" i="39"/>
  <c r="F9" i="39"/>
  <c r="E9" i="39"/>
  <c r="D9" i="39"/>
  <c r="C9" i="39"/>
  <c r="D8" i="39"/>
  <c r="E8" i="39" s="1"/>
  <c r="C7" i="39"/>
  <c r="C6" i="39"/>
  <c r="D4" i="39"/>
  <c r="H13" i="38"/>
  <c r="G13" i="38"/>
  <c r="F13" i="38"/>
  <c r="E13" i="38"/>
  <c r="D13" i="38"/>
  <c r="C13" i="38"/>
  <c r="C12" i="38"/>
  <c r="H9" i="38"/>
  <c r="H17" i="38" s="1"/>
  <c r="G9" i="38"/>
  <c r="G17" i="38" s="1"/>
  <c r="F9" i="38"/>
  <c r="F17" i="38" s="1"/>
  <c r="E9" i="38"/>
  <c r="E17" i="38" s="1"/>
  <c r="D9" i="38"/>
  <c r="D17" i="38" s="1"/>
  <c r="C9" i="38"/>
  <c r="D8" i="38"/>
  <c r="D10" i="38" s="1"/>
  <c r="C7" i="38"/>
  <c r="C6" i="38"/>
  <c r="D4" i="38"/>
  <c r="C12" i="37"/>
  <c r="D12" i="37" s="1"/>
  <c r="H9" i="37"/>
  <c r="H13" i="37" s="1"/>
  <c r="G9" i="37"/>
  <c r="G13" i="37" s="1"/>
  <c r="F9" i="37"/>
  <c r="F13" i="37" s="1"/>
  <c r="E9" i="37"/>
  <c r="E13" i="37" s="1"/>
  <c r="D9" i="37"/>
  <c r="D13" i="37" s="1"/>
  <c r="C9" i="37"/>
  <c r="D8" i="37"/>
  <c r="D10" i="37" s="1"/>
  <c r="C7" i="37"/>
  <c r="C6" i="37"/>
  <c r="D4" i="37"/>
  <c r="H13" i="36"/>
  <c r="G13" i="36"/>
  <c r="F13" i="36"/>
  <c r="E13" i="36"/>
  <c r="D13" i="36"/>
  <c r="C13" i="36"/>
  <c r="C12" i="36"/>
  <c r="D12" i="36" s="1"/>
  <c r="H9" i="36"/>
  <c r="G9" i="36"/>
  <c r="F9" i="36"/>
  <c r="E9" i="36"/>
  <c r="D9" i="36"/>
  <c r="C9" i="36"/>
  <c r="D8" i="36"/>
  <c r="C7" i="36"/>
  <c r="C6" i="36"/>
  <c r="D4" i="36"/>
  <c r="H13" i="35"/>
  <c r="G13" i="35"/>
  <c r="F13" i="35"/>
  <c r="E13" i="35"/>
  <c r="D13" i="35"/>
  <c r="C13" i="35"/>
  <c r="C12" i="35"/>
  <c r="H9" i="35"/>
  <c r="H17" i="35" s="1"/>
  <c r="G9" i="35"/>
  <c r="G17" i="35" s="1"/>
  <c r="F9" i="35"/>
  <c r="F17" i="35" s="1"/>
  <c r="E9" i="35"/>
  <c r="E17" i="35" s="1"/>
  <c r="D9" i="35"/>
  <c r="D17" i="35" s="1"/>
  <c r="C9" i="35"/>
  <c r="D8" i="35"/>
  <c r="D10" i="35" s="1"/>
  <c r="C7" i="35"/>
  <c r="C6" i="35"/>
  <c r="D4" i="35"/>
  <c r="H13" i="34"/>
  <c r="G13" i="34"/>
  <c r="F13" i="34"/>
  <c r="E13" i="34"/>
  <c r="D13" i="34"/>
  <c r="C13" i="34"/>
  <c r="C12" i="34"/>
  <c r="H9" i="34"/>
  <c r="G9" i="34"/>
  <c r="F9" i="34"/>
  <c r="E9" i="34"/>
  <c r="D9" i="34"/>
  <c r="C9" i="34"/>
  <c r="C10" i="34" s="1"/>
  <c r="D8" i="34"/>
  <c r="E8" i="34" s="1"/>
  <c r="F8" i="34" s="1"/>
  <c r="C7" i="34"/>
  <c r="C6" i="34"/>
  <c r="D4" i="34"/>
  <c r="G9" i="33"/>
  <c r="F9" i="33"/>
  <c r="E9" i="33"/>
  <c r="D9" i="33"/>
  <c r="C9" i="33"/>
  <c r="D8" i="33"/>
  <c r="D11" i="33" s="1"/>
  <c r="C7" i="33"/>
  <c r="C6" i="33"/>
  <c r="D4" i="33"/>
  <c r="C12" i="32"/>
  <c r="G9" i="32"/>
  <c r="G13" i="32" s="1"/>
  <c r="F9" i="32"/>
  <c r="F13" i="32" s="1"/>
  <c r="E9" i="32"/>
  <c r="E13" i="32" s="1"/>
  <c r="D9" i="32"/>
  <c r="C9" i="32"/>
  <c r="D8" i="32"/>
  <c r="E8" i="32" s="1"/>
  <c r="F8" i="32" s="1"/>
  <c r="C7" i="32"/>
  <c r="C6" i="32"/>
  <c r="D4" i="32"/>
  <c r="C12" i="31"/>
  <c r="G9" i="31"/>
  <c r="G13" i="31" s="1"/>
  <c r="F9" i="31"/>
  <c r="F13" i="31" s="1"/>
  <c r="E9" i="31"/>
  <c r="E13" i="31" s="1"/>
  <c r="D9" i="31"/>
  <c r="D13" i="31" s="1"/>
  <c r="C9" i="31"/>
  <c r="D8" i="31"/>
  <c r="D11" i="31" s="1"/>
  <c r="C7" i="31"/>
  <c r="C6" i="31"/>
  <c r="D4" i="31"/>
  <c r="D7" i="31" s="1"/>
  <c r="C12" i="30"/>
  <c r="D12" i="30" s="1"/>
  <c r="E12" i="30" s="1"/>
  <c r="F12" i="30" s="1"/>
  <c r="G12" i="30" s="1"/>
  <c r="G9" i="30"/>
  <c r="G13" i="30" s="1"/>
  <c r="F9" i="30"/>
  <c r="F13" i="30" s="1"/>
  <c r="E9" i="30"/>
  <c r="E13" i="30" s="1"/>
  <c r="D9" i="30"/>
  <c r="D13" i="30" s="1"/>
  <c r="C9" i="30"/>
  <c r="D8" i="30"/>
  <c r="C7" i="30"/>
  <c r="C6" i="30"/>
  <c r="D4" i="30"/>
  <c r="C12" i="29"/>
  <c r="G9" i="29"/>
  <c r="G13" i="29" s="1"/>
  <c r="F9" i="29"/>
  <c r="F13" i="29" s="1"/>
  <c r="E9" i="29"/>
  <c r="E13" i="29" s="1"/>
  <c r="D9" i="29"/>
  <c r="D13" i="29" s="1"/>
  <c r="C9" i="29"/>
  <c r="D8" i="29"/>
  <c r="D10" i="29" s="1"/>
  <c r="C7" i="29"/>
  <c r="C6" i="29"/>
  <c r="D4" i="29"/>
  <c r="C12" i="28"/>
  <c r="G9" i="28"/>
  <c r="G13" i="28" s="1"/>
  <c r="G17" i="28" s="1"/>
  <c r="F9" i="28"/>
  <c r="F13" i="28" s="1"/>
  <c r="F17" i="28" s="1"/>
  <c r="E9" i="28"/>
  <c r="E13" i="28" s="1"/>
  <c r="E17" i="28" s="1"/>
  <c r="D9" i="28"/>
  <c r="D13" i="28" s="1"/>
  <c r="C9" i="28"/>
  <c r="D8" i="28"/>
  <c r="E8" i="28" s="1"/>
  <c r="C7" i="28"/>
  <c r="C6" i="28"/>
  <c r="D4" i="28"/>
  <c r="G9" i="27"/>
  <c r="F9" i="27"/>
  <c r="E9" i="27"/>
  <c r="D9" i="27"/>
  <c r="C9" i="27"/>
  <c r="D8" i="27"/>
  <c r="C7" i="27"/>
  <c r="C6" i="27"/>
  <c r="D4" i="27"/>
  <c r="C7" i="26"/>
  <c r="C6" i="26"/>
  <c r="C8" i="26" s="1"/>
  <c r="D4" i="26"/>
  <c r="G9" i="25"/>
  <c r="F9" i="25"/>
  <c r="E9" i="25"/>
  <c r="D9" i="25"/>
  <c r="C9" i="25"/>
  <c r="C11" i="25" s="1"/>
  <c r="D8" i="25"/>
  <c r="C7" i="25"/>
  <c r="C6" i="25"/>
  <c r="D4" i="25"/>
  <c r="G9" i="24"/>
  <c r="F9" i="24"/>
  <c r="E9" i="24"/>
  <c r="D9" i="24"/>
  <c r="C9" i="24"/>
  <c r="D8" i="24"/>
  <c r="E8" i="24" s="1"/>
  <c r="C7" i="24"/>
  <c r="C6" i="24"/>
  <c r="D4" i="24"/>
  <c r="G9" i="23"/>
  <c r="F9" i="23"/>
  <c r="E9" i="23"/>
  <c r="D9" i="23"/>
  <c r="C9" i="23"/>
  <c r="D8" i="23"/>
  <c r="C7" i="23"/>
  <c r="C6" i="23"/>
  <c r="D4" i="23"/>
  <c r="D7" i="23" s="1"/>
  <c r="G9" i="22"/>
  <c r="F9" i="22"/>
  <c r="E9" i="22"/>
  <c r="D9" i="22"/>
  <c r="C9" i="22"/>
  <c r="D8" i="22"/>
  <c r="E8" i="22" s="1"/>
  <c r="E10" i="22" s="1"/>
  <c r="C7" i="22"/>
  <c r="C6" i="22"/>
  <c r="D4" i="22"/>
  <c r="G9" i="21"/>
  <c r="F9" i="21"/>
  <c r="E9" i="21"/>
  <c r="D9" i="21"/>
  <c r="C9" i="21"/>
  <c r="C11" i="21" s="1"/>
  <c r="D8" i="21"/>
  <c r="E8" i="21" s="1"/>
  <c r="E11" i="21" s="1"/>
  <c r="C7" i="21"/>
  <c r="C6" i="21"/>
  <c r="D4" i="21"/>
  <c r="D7" i="21" s="1"/>
  <c r="G9" i="20"/>
  <c r="F9" i="20"/>
  <c r="E9" i="20"/>
  <c r="D9" i="20"/>
  <c r="C9" i="20"/>
  <c r="D8" i="20"/>
  <c r="E8" i="20" s="1"/>
  <c r="C7" i="20"/>
  <c r="C6" i="20"/>
  <c r="D4" i="20"/>
  <c r="H13" i="19"/>
  <c r="G13" i="19"/>
  <c r="F13" i="19"/>
  <c r="E13" i="19"/>
  <c r="D13" i="19"/>
  <c r="C13" i="19"/>
  <c r="C12" i="19"/>
  <c r="C15" i="19" s="1"/>
  <c r="H9" i="19"/>
  <c r="G9" i="19"/>
  <c r="F9" i="19"/>
  <c r="E9" i="19"/>
  <c r="D9" i="19"/>
  <c r="C9" i="19"/>
  <c r="C10" i="19" s="1"/>
  <c r="D8" i="19"/>
  <c r="E8" i="19" s="1"/>
  <c r="C7" i="19"/>
  <c r="C6" i="19"/>
  <c r="D4" i="19"/>
  <c r="D6" i="19" s="1"/>
  <c r="H13" i="18"/>
  <c r="G13" i="18"/>
  <c r="F13" i="18"/>
  <c r="E13" i="18"/>
  <c r="D13" i="18"/>
  <c r="C13" i="18"/>
  <c r="C12" i="18"/>
  <c r="H9" i="18"/>
  <c r="G9" i="18"/>
  <c r="F9" i="18"/>
  <c r="E9" i="18"/>
  <c r="D9" i="18"/>
  <c r="C9" i="18"/>
  <c r="C10" i="18" s="1"/>
  <c r="D8" i="18"/>
  <c r="C7" i="18"/>
  <c r="C6" i="18"/>
  <c r="D4" i="18"/>
  <c r="E4" i="18" s="1"/>
  <c r="H13" i="17"/>
  <c r="G13" i="17"/>
  <c r="F13" i="17"/>
  <c r="E13" i="17"/>
  <c r="D13" i="17"/>
  <c r="C13" i="17"/>
  <c r="C12" i="17"/>
  <c r="D12" i="17" s="1"/>
  <c r="H9" i="17"/>
  <c r="G9" i="17"/>
  <c r="F9" i="17"/>
  <c r="E9" i="17"/>
  <c r="D9" i="17"/>
  <c r="C9" i="17"/>
  <c r="C10" i="17" s="1"/>
  <c r="D8" i="17"/>
  <c r="E8" i="17" s="1"/>
  <c r="F8" i="17" s="1"/>
  <c r="C7" i="17"/>
  <c r="C6" i="17"/>
  <c r="D4" i="17"/>
  <c r="E4" i="17" s="1"/>
  <c r="H13" i="16"/>
  <c r="G13" i="16"/>
  <c r="F13" i="16"/>
  <c r="E13" i="16"/>
  <c r="D13" i="16"/>
  <c r="C13" i="16"/>
  <c r="C12" i="16"/>
  <c r="D12" i="16" s="1"/>
  <c r="H9" i="16"/>
  <c r="H17" i="16" s="1"/>
  <c r="G9" i="16"/>
  <c r="G17" i="16" s="1"/>
  <c r="F9" i="16"/>
  <c r="F17" i="16" s="1"/>
  <c r="E9" i="16"/>
  <c r="E17" i="16" s="1"/>
  <c r="D9" i="16"/>
  <c r="C9" i="16"/>
  <c r="D8" i="16"/>
  <c r="E8" i="16" s="1"/>
  <c r="C7" i="16"/>
  <c r="C6" i="16"/>
  <c r="D4" i="16"/>
  <c r="E4" i="16" s="1"/>
  <c r="E7" i="16" s="1"/>
  <c r="C12" i="15"/>
  <c r="D12" i="15" s="1"/>
  <c r="E12" i="15" s="1"/>
  <c r="F12" i="15" s="1"/>
  <c r="G12" i="15" s="1"/>
  <c r="H12" i="15" s="1"/>
  <c r="J9" i="15"/>
  <c r="J13" i="15" s="1"/>
  <c r="J17" i="15" s="1"/>
  <c r="I9" i="15"/>
  <c r="I13" i="15" s="1"/>
  <c r="I17" i="15" s="1"/>
  <c r="H9" i="15"/>
  <c r="H13" i="15" s="1"/>
  <c r="H17" i="15" s="1"/>
  <c r="G9" i="15"/>
  <c r="G13" i="15" s="1"/>
  <c r="G17" i="15" s="1"/>
  <c r="F9" i="15"/>
  <c r="F13" i="15" s="1"/>
  <c r="F17" i="15" s="1"/>
  <c r="E9" i="15"/>
  <c r="E13" i="15" s="1"/>
  <c r="D9" i="15"/>
  <c r="D13" i="15" s="1"/>
  <c r="D17" i="15" s="1"/>
  <c r="C9" i="15"/>
  <c r="C13" i="15" s="1"/>
  <c r="C17" i="15" s="1"/>
  <c r="D8" i="15"/>
  <c r="C7" i="15"/>
  <c r="C6" i="15"/>
  <c r="D4" i="15"/>
  <c r="C12" i="14"/>
  <c r="J9" i="14"/>
  <c r="J13" i="14" s="1"/>
  <c r="J17" i="14" s="1"/>
  <c r="I9" i="14"/>
  <c r="I13" i="14" s="1"/>
  <c r="I17" i="14" s="1"/>
  <c r="H9" i="14"/>
  <c r="H13" i="14" s="1"/>
  <c r="H17" i="14" s="1"/>
  <c r="G9" i="14"/>
  <c r="G13" i="14" s="1"/>
  <c r="G17" i="14" s="1"/>
  <c r="F9" i="14"/>
  <c r="F13" i="14" s="1"/>
  <c r="F17" i="14" s="1"/>
  <c r="E9" i="14"/>
  <c r="E13" i="14" s="1"/>
  <c r="E17" i="14" s="1"/>
  <c r="D9" i="14"/>
  <c r="D13" i="14" s="1"/>
  <c r="D17" i="14" s="1"/>
  <c r="C9" i="14"/>
  <c r="C13" i="14" s="1"/>
  <c r="C17" i="14" s="1"/>
  <c r="D8" i="14"/>
  <c r="D10" i="14" s="1"/>
  <c r="C7" i="14"/>
  <c r="C6" i="14"/>
  <c r="D4" i="14"/>
  <c r="E4" i="14" s="1"/>
  <c r="C12" i="13"/>
  <c r="J9" i="13"/>
  <c r="J13" i="13" s="1"/>
  <c r="J17" i="13" s="1"/>
  <c r="I9" i="13"/>
  <c r="I13" i="13" s="1"/>
  <c r="I17" i="13" s="1"/>
  <c r="H9" i="13"/>
  <c r="H13" i="13" s="1"/>
  <c r="H17" i="13" s="1"/>
  <c r="G9" i="13"/>
  <c r="G13" i="13" s="1"/>
  <c r="G17" i="13" s="1"/>
  <c r="F9" i="13"/>
  <c r="F13" i="13" s="1"/>
  <c r="F17" i="13" s="1"/>
  <c r="E9" i="13"/>
  <c r="E13" i="13" s="1"/>
  <c r="E17" i="13" s="1"/>
  <c r="D9" i="13"/>
  <c r="D13" i="13" s="1"/>
  <c r="D17" i="13" s="1"/>
  <c r="C9" i="13"/>
  <c r="D8" i="13"/>
  <c r="D10" i="13" s="1"/>
  <c r="C7" i="13"/>
  <c r="C6" i="13"/>
  <c r="D4" i="13"/>
  <c r="C12" i="12"/>
  <c r="D12" i="12" s="1"/>
  <c r="J9" i="12"/>
  <c r="J13" i="12" s="1"/>
  <c r="J17" i="12" s="1"/>
  <c r="I9" i="12"/>
  <c r="I13" i="12" s="1"/>
  <c r="I17" i="12" s="1"/>
  <c r="H9" i="12"/>
  <c r="H13" i="12" s="1"/>
  <c r="H17" i="12" s="1"/>
  <c r="G9" i="12"/>
  <c r="G13" i="12" s="1"/>
  <c r="G17" i="12" s="1"/>
  <c r="F9" i="12"/>
  <c r="F13" i="12" s="1"/>
  <c r="F17" i="12" s="1"/>
  <c r="E9" i="12"/>
  <c r="E13" i="12" s="1"/>
  <c r="E17" i="12" s="1"/>
  <c r="D9" i="12"/>
  <c r="D13" i="12" s="1"/>
  <c r="D17" i="12" s="1"/>
  <c r="C9" i="12"/>
  <c r="D8" i="12"/>
  <c r="E8" i="12" s="1"/>
  <c r="F8" i="12" s="1"/>
  <c r="C7" i="12"/>
  <c r="C6" i="12"/>
  <c r="D4" i="12"/>
  <c r="D6" i="12" s="1"/>
  <c r="C12" i="11"/>
  <c r="J9" i="11"/>
  <c r="J13" i="11" s="1"/>
  <c r="J17" i="11" s="1"/>
  <c r="I9" i="11"/>
  <c r="I13" i="11" s="1"/>
  <c r="I17" i="11" s="1"/>
  <c r="H9" i="11"/>
  <c r="H13" i="11" s="1"/>
  <c r="H17" i="11" s="1"/>
  <c r="G9" i="11"/>
  <c r="G13" i="11" s="1"/>
  <c r="G17" i="11" s="1"/>
  <c r="F9" i="11"/>
  <c r="F13" i="11" s="1"/>
  <c r="F17" i="11" s="1"/>
  <c r="E9" i="11"/>
  <c r="E13" i="11" s="1"/>
  <c r="E17" i="11" s="1"/>
  <c r="D9" i="11"/>
  <c r="D13" i="11" s="1"/>
  <c r="D17" i="11" s="1"/>
  <c r="C9" i="11"/>
  <c r="D8" i="11"/>
  <c r="D11" i="11" s="1"/>
  <c r="C7" i="11"/>
  <c r="C6" i="11"/>
  <c r="D4" i="11"/>
  <c r="D7" i="11" s="1"/>
  <c r="C12" i="10"/>
  <c r="J9" i="10"/>
  <c r="J13" i="10" s="1"/>
  <c r="J17" i="10" s="1"/>
  <c r="I9" i="10"/>
  <c r="I13" i="10" s="1"/>
  <c r="I17" i="10" s="1"/>
  <c r="H9" i="10"/>
  <c r="H13" i="10" s="1"/>
  <c r="H17" i="10" s="1"/>
  <c r="G9" i="10"/>
  <c r="G13" i="10" s="1"/>
  <c r="G17" i="10" s="1"/>
  <c r="F9" i="10"/>
  <c r="F13" i="10" s="1"/>
  <c r="F17" i="10" s="1"/>
  <c r="E9" i="10"/>
  <c r="E13" i="10" s="1"/>
  <c r="E17" i="10" s="1"/>
  <c r="D9" i="10"/>
  <c r="D13" i="10" s="1"/>
  <c r="D17" i="10" s="1"/>
  <c r="C9" i="10"/>
  <c r="C13" i="10" s="1"/>
  <c r="D8" i="10"/>
  <c r="D11" i="10" s="1"/>
  <c r="C7" i="10"/>
  <c r="C6" i="10"/>
  <c r="D4" i="10"/>
  <c r="C12" i="9"/>
  <c r="C16" i="9" s="1"/>
  <c r="J9" i="9"/>
  <c r="J13" i="9" s="1"/>
  <c r="J17" i="9" s="1"/>
  <c r="I9" i="9"/>
  <c r="I13" i="9" s="1"/>
  <c r="I17" i="9" s="1"/>
  <c r="H9" i="9"/>
  <c r="H13" i="9" s="1"/>
  <c r="H17" i="9" s="1"/>
  <c r="G9" i="9"/>
  <c r="G13" i="9" s="1"/>
  <c r="G17" i="9" s="1"/>
  <c r="F9" i="9"/>
  <c r="F13" i="9" s="1"/>
  <c r="F17" i="9" s="1"/>
  <c r="E9" i="9"/>
  <c r="E13" i="9" s="1"/>
  <c r="E17" i="9" s="1"/>
  <c r="D9" i="9"/>
  <c r="D13" i="9" s="1"/>
  <c r="D17" i="9" s="1"/>
  <c r="C9" i="9"/>
  <c r="D8" i="9"/>
  <c r="E8" i="9" s="1"/>
  <c r="C7" i="9"/>
  <c r="C6" i="9"/>
  <c r="D4" i="9"/>
  <c r="D7" i="9" s="1"/>
  <c r="C12" i="8"/>
  <c r="C16" i="8" s="1"/>
  <c r="J9" i="8"/>
  <c r="J13" i="8" s="1"/>
  <c r="J17" i="8" s="1"/>
  <c r="I9" i="8"/>
  <c r="I13" i="8" s="1"/>
  <c r="I17" i="8" s="1"/>
  <c r="H9" i="8"/>
  <c r="H13" i="8" s="1"/>
  <c r="H17" i="8" s="1"/>
  <c r="G9" i="8"/>
  <c r="G13" i="8" s="1"/>
  <c r="G17" i="8" s="1"/>
  <c r="F9" i="8"/>
  <c r="F13" i="8" s="1"/>
  <c r="F17" i="8" s="1"/>
  <c r="E9" i="8"/>
  <c r="E13" i="8" s="1"/>
  <c r="E17" i="8" s="1"/>
  <c r="D9" i="8"/>
  <c r="D13" i="8" s="1"/>
  <c r="D17" i="8" s="1"/>
  <c r="C9" i="8"/>
  <c r="C13" i="8" s="1"/>
  <c r="C17" i="8" s="1"/>
  <c r="D8" i="8"/>
  <c r="E8" i="8" s="1"/>
  <c r="C7" i="8"/>
  <c r="C6" i="8"/>
  <c r="D4" i="8"/>
  <c r="D6" i="8" s="1"/>
  <c r="C8" i="7"/>
  <c r="C5" i="7"/>
  <c r="C7" i="7" s="1"/>
  <c r="C12" i="6"/>
  <c r="C16" i="6" s="1"/>
  <c r="J9" i="6"/>
  <c r="J13" i="6" s="1"/>
  <c r="J17" i="6" s="1"/>
  <c r="I9" i="6"/>
  <c r="I13" i="6" s="1"/>
  <c r="I17" i="6" s="1"/>
  <c r="H9" i="6"/>
  <c r="H13" i="6" s="1"/>
  <c r="H17" i="6" s="1"/>
  <c r="G9" i="6"/>
  <c r="G13" i="6" s="1"/>
  <c r="G17" i="6" s="1"/>
  <c r="F9" i="6"/>
  <c r="F13" i="6" s="1"/>
  <c r="F17" i="6" s="1"/>
  <c r="E9" i="6"/>
  <c r="E13" i="6" s="1"/>
  <c r="E17" i="6" s="1"/>
  <c r="D9" i="6"/>
  <c r="C9" i="6"/>
  <c r="C10" i="6" s="1"/>
  <c r="D8" i="6"/>
  <c r="C7" i="6"/>
  <c r="C6" i="6"/>
  <c r="D4" i="6"/>
  <c r="D7" i="6" s="1"/>
  <c r="C12" i="5"/>
  <c r="C16" i="5" s="1"/>
  <c r="I9" i="5"/>
  <c r="I13" i="5" s="1"/>
  <c r="I17" i="5" s="1"/>
  <c r="H9" i="5"/>
  <c r="H13" i="5" s="1"/>
  <c r="H17" i="5" s="1"/>
  <c r="G9" i="5"/>
  <c r="G13" i="5" s="1"/>
  <c r="G17" i="5" s="1"/>
  <c r="F9" i="5"/>
  <c r="F13" i="5" s="1"/>
  <c r="F17" i="5" s="1"/>
  <c r="E9" i="5"/>
  <c r="E13" i="5" s="1"/>
  <c r="E17" i="5" s="1"/>
  <c r="D9" i="5"/>
  <c r="D13" i="5" s="1"/>
  <c r="D17" i="5" s="1"/>
  <c r="C9" i="5"/>
  <c r="D8" i="5"/>
  <c r="C7" i="5"/>
  <c r="C6" i="5"/>
  <c r="D4" i="5"/>
  <c r="E4" i="5" s="1"/>
  <c r="C12" i="4"/>
  <c r="I9" i="4"/>
  <c r="I13" i="4" s="1"/>
  <c r="I17" i="4" s="1"/>
  <c r="H9" i="4"/>
  <c r="H13" i="4" s="1"/>
  <c r="H17" i="4" s="1"/>
  <c r="G9" i="4"/>
  <c r="G13" i="4" s="1"/>
  <c r="G17" i="4" s="1"/>
  <c r="F9" i="4"/>
  <c r="F13" i="4" s="1"/>
  <c r="F17" i="4" s="1"/>
  <c r="E9" i="4"/>
  <c r="E13" i="4" s="1"/>
  <c r="E17" i="4" s="1"/>
  <c r="D9" i="4"/>
  <c r="C9" i="4"/>
  <c r="D8" i="4"/>
  <c r="E8" i="4" s="1"/>
  <c r="F8" i="4" s="1"/>
  <c r="C7" i="4"/>
  <c r="C6" i="4"/>
  <c r="D4" i="4"/>
  <c r="C12" i="3"/>
  <c r="I9" i="3"/>
  <c r="I13" i="3" s="1"/>
  <c r="I17" i="3" s="1"/>
  <c r="H9" i="3"/>
  <c r="H13" i="3" s="1"/>
  <c r="H17" i="3" s="1"/>
  <c r="G9" i="3"/>
  <c r="G13" i="3" s="1"/>
  <c r="G17" i="3" s="1"/>
  <c r="F9" i="3"/>
  <c r="F13" i="3" s="1"/>
  <c r="F17" i="3" s="1"/>
  <c r="E9" i="3"/>
  <c r="E13" i="3" s="1"/>
  <c r="E17" i="3" s="1"/>
  <c r="D9" i="3"/>
  <c r="D13" i="3" s="1"/>
  <c r="D17" i="3" s="1"/>
  <c r="C9" i="3"/>
  <c r="D8" i="3"/>
  <c r="D11" i="3" s="1"/>
  <c r="C7" i="3"/>
  <c r="C6" i="3"/>
  <c r="D4" i="3"/>
  <c r="C12" i="2"/>
  <c r="D12" i="2" s="1"/>
  <c r="I9" i="2"/>
  <c r="I13" i="2" s="1"/>
  <c r="I17" i="2" s="1"/>
  <c r="H9" i="2"/>
  <c r="H13" i="2" s="1"/>
  <c r="H17" i="2" s="1"/>
  <c r="G9" i="2"/>
  <c r="G13" i="2" s="1"/>
  <c r="G17" i="2" s="1"/>
  <c r="F9" i="2"/>
  <c r="F13" i="2" s="1"/>
  <c r="F17" i="2" s="1"/>
  <c r="E9" i="2"/>
  <c r="E13" i="2" s="1"/>
  <c r="E17" i="2" s="1"/>
  <c r="D9" i="2"/>
  <c r="D13" i="2" s="1"/>
  <c r="D17" i="2" s="1"/>
  <c r="C9" i="2"/>
  <c r="D8" i="2"/>
  <c r="C7" i="2"/>
  <c r="C6" i="2"/>
  <c r="D4" i="2"/>
  <c r="C12" i="1"/>
  <c r="D12" i="1" s="1"/>
  <c r="E12" i="1" s="1"/>
  <c r="I9" i="1"/>
  <c r="I13" i="1" s="1"/>
  <c r="I17" i="1" s="1"/>
  <c r="H9" i="1"/>
  <c r="H13" i="1" s="1"/>
  <c r="H17" i="1" s="1"/>
  <c r="G9" i="1"/>
  <c r="G13" i="1" s="1"/>
  <c r="G17" i="1" s="1"/>
  <c r="F9" i="1"/>
  <c r="F13" i="1" s="1"/>
  <c r="F17" i="1" s="1"/>
  <c r="E9" i="1"/>
  <c r="E13" i="1" s="1"/>
  <c r="E17" i="1" s="1"/>
  <c r="D9" i="1"/>
  <c r="D13" i="1" s="1"/>
  <c r="D17" i="1" s="1"/>
  <c r="C9" i="1"/>
  <c r="C13" i="1" s="1"/>
  <c r="C17" i="1" s="1"/>
  <c r="D8" i="1"/>
  <c r="C7" i="1"/>
  <c r="C6" i="1"/>
  <c r="D4" i="1"/>
  <c r="E4" i="1" s="1"/>
  <c r="E6" i="1" l="1"/>
  <c r="E7" i="1"/>
  <c r="E14" i="1"/>
  <c r="E15" i="1"/>
  <c r="C11" i="2"/>
  <c r="C13" i="2"/>
  <c r="C10" i="2"/>
  <c r="D15" i="2"/>
  <c r="D6" i="3"/>
  <c r="D7" i="3"/>
  <c r="C10" i="3"/>
  <c r="C11" i="3"/>
  <c r="D6" i="4"/>
  <c r="D7" i="4"/>
  <c r="E4" i="4"/>
  <c r="C10" i="4"/>
  <c r="C11" i="4"/>
  <c r="D11" i="4"/>
  <c r="D10" i="5"/>
  <c r="E8" i="5"/>
  <c r="C13" i="5"/>
  <c r="C15" i="5" s="1"/>
  <c r="C10" i="5"/>
  <c r="D10" i="6"/>
  <c r="D13" i="6"/>
  <c r="D17" i="6" s="1"/>
  <c r="C12" i="7"/>
  <c r="C13" i="7" s="1"/>
  <c r="C14" i="7" s="1"/>
  <c r="C9" i="7"/>
  <c r="C11" i="7" s="1"/>
  <c r="C10" i="9"/>
  <c r="C13" i="9"/>
  <c r="C17" i="9" s="1"/>
  <c r="D6" i="10"/>
  <c r="D7" i="10"/>
  <c r="C16" i="10"/>
  <c r="D16" i="10" s="1"/>
  <c r="D12" i="10"/>
  <c r="C11" i="11"/>
  <c r="C13" i="11"/>
  <c r="C17" i="11" s="1"/>
  <c r="C13" i="12"/>
  <c r="C17" i="12" s="1"/>
  <c r="C11" i="12"/>
  <c r="D6" i="13"/>
  <c r="D7" i="13"/>
  <c r="D12" i="14"/>
  <c r="E12" i="14" s="1"/>
  <c r="C15" i="14"/>
  <c r="D6" i="15"/>
  <c r="E4" i="15"/>
  <c r="F4" i="15" s="1"/>
  <c r="F6" i="15" s="1"/>
  <c r="C17" i="16"/>
  <c r="C11" i="16"/>
  <c r="C10" i="16"/>
  <c r="E8" i="18"/>
  <c r="D11" i="18"/>
  <c r="D10" i="18"/>
  <c r="C15" i="18"/>
  <c r="C14" i="18"/>
  <c r="C16" i="18" s="1"/>
  <c r="C14" i="19"/>
  <c r="C11" i="20"/>
  <c r="C10" i="20"/>
  <c r="E4" i="22"/>
  <c r="D6" i="22"/>
  <c r="D10" i="23"/>
  <c r="E8" i="23"/>
  <c r="D7" i="24"/>
  <c r="D6" i="24"/>
  <c r="E4" i="24"/>
  <c r="F4" i="24" s="1"/>
  <c r="C10" i="24"/>
  <c r="C11" i="24"/>
  <c r="D7" i="25"/>
  <c r="D6" i="25"/>
  <c r="E4" i="25"/>
  <c r="D7" i="27"/>
  <c r="D6" i="27"/>
  <c r="E4" i="27"/>
  <c r="C11" i="28"/>
  <c r="C13" i="28"/>
  <c r="C14" i="28" s="1"/>
  <c r="C10" i="28"/>
  <c r="C16" i="28"/>
  <c r="D12" i="28"/>
  <c r="D6" i="29"/>
  <c r="D7" i="29"/>
  <c r="E4" i="29"/>
  <c r="F4" i="29" s="1"/>
  <c r="E8" i="30"/>
  <c r="D10" i="30"/>
  <c r="C11" i="30"/>
  <c r="C10" i="30"/>
  <c r="D6" i="33"/>
  <c r="D7" i="33"/>
  <c r="E4" i="33"/>
  <c r="C10" i="35"/>
  <c r="C17" i="35"/>
  <c r="C11" i="35"/>
  <c r="C16" i="35"/>
  <c r="D12" i="35"/>
  <c r="C15" i="35"/>
  <c r="C11" i="36"/>
  <c r="C10" i="36"/>
  <c r="D14" i="36"/>
  <c r="C11" i="37"/>
  <c r="C13" i="37"/>
  <c r="C14" i="37" s="1"/>
  <c r="D14" i="37"/>
  <c r="D6" i="38"/>
  <c r="D7" i="38"/>
  <c r="E4" i="38"/>
  <c r="C11" i="39"/>
  <c r="C10" i="39"/>
  <c r="C15" i="39"/>
  <c r="C14" i="39"/>
  <c r="D12" i="39"/>
  <c r="E8" i="40"/>
  <c r="D11" i="40"/>
  <c r="C15" i="42"/>
  <c r="D12" i="42"/>
  <c r="D14" i="42" s="1"/>
  <c r="C17" i="43"/>
  <c r="C10" i="43"/>
  <c r="E8" i="44"/>
  <c r="D11" i="44"/>
  <c r="C10" i="45"/>
  <c r="C17" i="45"/>
  <c r="C11" i="45"/>
  <c r="C15" i="45"/>
  <c r="C16" i="46"/>
  <c r="D12" i="46"/>
  <c r="D7" i="47"/>
  <c r="E4" i="47"/>
  <c r="E6" i="47" s="1"/>
  <c r="D14" i="47"/>
  <c r="D11" i="48"/>
  <c r="E8" i="48"/>
  <c r="F8" i="48" s="1"/>
  <c r="F11" i="48" s="1"/>
  <c r="C10" i="49"/>
  <c r="C11" i="49"/>
  <c r="E4" i="50"/>
  <c r="D6" i="50"/>
  <c r="D8" i="50" s="1"/>
  <c r="D11" i="52"/>
  <c r="E8" i="52"/>
  <c r="E10" i="52" s="1"/>
  <c r="E8" i="53"/>
  <c r="E10" i="53" s="1"/>
  <c r="D11" i="53"/>
  <c r="E4" i="54"/>
  <c r="F4" i="54" s="1"/>
  <c r="F7" i="54" s="1"/>
  <c r="D7" i="54"/>
  <c r="C11" i="54"/>
  <c r="C10" i="54"/>
  <c r="C11" i="55"/>
  <c r="C10" i="55"/>
  <c r="C12" i="55" s="1"/>
  <c r="E8" i="56"/>
  <c r="D10" i="56"/>
  <c r="D7" i="57"/>
  <c r="D6" i="57"/>
  <c r="E4" i="57"/>
  <c r="E6" i="57" s="1"/>
  <c r="E12" i="57" s="1"/>
  <c r="C11" i="58"/>
  <c r="C10" i="58"/>
  <c r="C12" i="58" s="1"/>
  <c r="D7" i="59"/>
  <c r="E4" i="59"/>
  <c r="D7" i="62"/>
  <c r="D6" i="62"/>
  <c r="E4" i="62"/>
  <c r="E7" i="62" s="1"/>
  <c r="C11" i="62"/>
  <c r="C10" i="62"/>
  <c r="E11" i="63"/>
  <c r="F8" i="63"/>
  <c r="D11" i="63"/>
  <c r="E8" i="64"/>
  <c r="F8" i="64" s="1"/>
  <c r="D11" i="64"/>
  <c r="D8" i="65"/>
  <c r="D7" i="65"/>
  <c r="E4" i="65"/>
  <c r="E13" i="65"/>
  <c r="E12" i="65"/>
  <c r="E4" i="67"/>
  <c r="D7" i="67"/>
  <c r="C15" i="67"/>
  <c r="D7" i="68"/>
  <c r="D6" i="68"/>
  <c r="D10" i="68"/>
  <c r="E8" i="68"/>
  <c r="C13" i="68"/>
  <c r="C14" i="68" s="1"/>
  <c r="C11" i="68"/>
  <c r="C10" i="68"/>
  <c r="E4" i="70"/>
  <c r="D7" i="70"/>
  <c r="C16" i="70"/>
  <c r="D12" i="70"/>
  <c r="E12" i="70" s="1"/>
  <c r="D7" i="72"/>
  <c r="D6" i="72"/>
  <c r="D10" i="72"/>
  <c r="D11" i="72"/>
  <c r="E11" i="73"/>
  <c r="F8" i="73"/>
  <c r="F10" i="73" s="1"/>
  <c r="E10" i="73"/>
  <c r="E8" i="74"/>
  <c r="D10" i="74"/>
  <c r="C11" i="74"/>
  <c r="C10" i="74"/>
  <c r="C17" i="75"/>
  <c r="C10" i="75"/>
  <c r="D7" i="76"/>
  <c r="D6" i="76"/>
  <c r="E4" i="76"/>
  <c r="E10" i="76"/>
  <c r="D6" i="77"/>
  <c r="E4" i="77"/>
  <c r="C17" i="77"/>
  <c r="C11" i="77"/>
  <c r="C10" i="77"/>
  <c r="D6" i="78"/>
  <c r="D7" i="78"/>
  <c r="E4" i="78"/>
  <c r="D11" i="79"/>
  <c r="C17" i="80"/>
  <c r="C11" i="80"/>
  <c r="C10" i="80"/>
  <c r="D7" i="81"/>
  <c r="D6" i="81"/>
  <c r="E4" i="81"/>
  <c r="C16" i="81"/>
  <c r="D12" i="81"/>
  <c r="C14" i="81"/>
  <c r="C16" i="83"/>
  <c r="D12" i="83"/>
  <c r="D10" i="84"/>
  <c r="E8" i="84"/>
  <c r="C17" i="84"/>
  <c r="C11" i="84"/>
  <c r="C10" i="84"/>
  <c r="C13" i="87"/>
  <c r="C17" i="87" s="1"/>
  <c r="C11" i="87"/>
  <c r="C10" i="87"/>
  <c r="C16" i="90"/>
  <c r="D12" i="90"/>
  <c r="E4" i="91"/>
  <c r="F4" i="91" s="1"/>
  <c r="F7" i="91" s="1"/>
  <c r="D7" i="91"/>
  <c r="C11" i="92"/>
  <c r="C17" i="92"/>
  <c r="D12" i="92"/>
  <c r="C16" i="92"/>
  <c r="D16" i="92" s="1"/>
  <c r="C11" i="93"/>
  <c r="C10" i="93"/>
  <c r="D6" i="96"/>
  <c r="D7" i="96"/>
  <c r="C11" i="96"/>
  <c r="C17" i="96"/>
  <c r="C10" i="96"/>
  <c r="D6" i="97"/>
  <c r="D7" i="97"/>
  <c r="E8" i="97"/>
  <c r="E11" i="97" s="1"/>
  <c r="D10" i="97"/>
  <c r="D7" i="98"/>
  <c r="D6" i="98"/>
  <c r="E4" i="98"/>
  <c r="F4" i="98" s="1"/>
  <c r="C10" i="98"/>
  <c r="C11" i="98"/>
  <c r="E4" i="99"/>
  <c r="D7" i="99"/>
  <c r="D6" i="99"/>
  <c r="C11" i="99"/>
  <c r="C10" i="99"/>
  <c r="D16" i="101"/>
  <c r="C17" i="107"/>
  <c r="C14" i="107"/>
  <c r="D16" i="109"/>
  <c r="G12" i="109"/>
  <c r="F14" i="109"/>
  <c r="F15" i="109"/>
  <c r="H4" i="109"/>
  <c r="G6" i="109"/>
  <c r="G7" i="109"/>
  <c r="G8" i="109"/>
  <c r="F10" i="109"/>
  <c r="F16" i="109" s="1"/>
  <c r="F11" i="109"/>
  <c r="E11" i="107"/>
  <c r="F8" i="107"/>
  <c r="E10" i="107"/>
  <c r="D14" i="107"/>
  <c r="D15" i="107"/>
  <c r="E12" i="107"/>
  <c r="C15" i="107"/>
  <c r="F7" i="107"/>
  <c r="G4" i="107"/>
  <c r="F6" i="107"/>
  <c r="C19" i="107"/>
  <c r="C18" i="107"/>
  <c r="C20" i="107" s="1"/>
  <c r="D16" i="107"/>
  <c r="F4" i="106"/>
  <c r="E7" i="106"/>
  <c r="E6" i="106"/>
  <c r="E12" i="106" s="1"/>
  <c r="F10" i="106"/>
  <c r="F11" i="106"/>
  <c r="G8" i="106"/>
  <c r="E7" i="105"/>
  <c r="F4" i="105"/>
  <c r="E6" i="105"/>
  <c r="E10" i="105"/>
  <c r="F8" i="105"/>
  <c r="E11" i="105"/>
  <c r="E12" i="104"/>
  <c r="F9" i="104"/>
  <c r="E13" i="104"/>
  <c r="F4" i="104"/>
  <c r="E7" i="104"/>
  <c r="E14" i="104" s="1"/>
  <c r="E8" i="104"/>
  <c r="E10" i="103"/>
  <c r="E11" i="103"/>
  <c r="F8" i="103"/>
  <c r="D14" i="103"/>
  <c r="D16" i="103" s="1"/>
  <c r="D15" i="103"/>
  <c r="E12" i="103"/>
  <c r="E7" i="103"/>
  <c r="F4" i="103"/>
  <c r="E6" i="103"/>
  <c r="C15" i="101"/>
  <c r="C14" i="101"/>
  <c r="C16" i="101" s="1"/>
  <c r="F12" i="101"/>
  <c r="E14" i="101"/>
  <c r="E15" i="101"/>
  <c r="G10" i="102"/>
  <c r="F12" i="102"/>
  <c r="E14" i="102"/>
  <c r="E15" i="102"/>
  <c r="E6" i="102"/>
  <c r="E16" i="102" s="1"/>
  <c r="F4" i="102"/>
  <c r="G4" i="102" s="1"/>
  <c r="E7" i="102"/>
  <c r="F10" i="102"/>
  <c r="F11" i="102"/>
  <c r="E6" i="14"/>
  <c r="F4" i="14"/>
  <c r="E7" i="14"/>
  <c r="E11" i="56"/>
  <c r="F8" i="56"/>
  <c r="F11" i="56" s="1"/>
  <c r="E10" i="56"/>
  <c r="E10" i="66"/>
  <c r="F8" i="66"/>
  <c r="D14" i="17"/>
  <c r="E12" i="17"/>
  <c r="F8" i="8"/>
  <c r="E11" i="8"/>
  <c r="E10" i="8"/>
  <c r="F11" i="34"/>
  <c r="G8" i="34"/>
  <c r="E10" i="16"/>
  <c r="E11" i="16"/>
  <c r="F8" i="16"/>
  <c r="F11" i="32"/>
  <c r="G8" i="32"/>
  <c r="C11" i="14"/>
  <c r="D15" i="16"/>
  <c r="D11" i="22"/>
  <c r="D7" i="1"/>
  <c r="C15" i="1"/>
  <c r="C13" i="4"/>
  <c r="C17" i="4" s="1"/>
  <c r="E4" i="6"/>
  <c r="C13" i="6"/>
  <c r="C17" i="6" s="1"/>
  <c r="C11" i="9"/>
  <c r="E4" i="10"/>
  <c r="D7" i="16"/>
  <c r="C15" i="16"/>
  <c r="D11" i="17"/>
  <c r="C11" i="17"/>
  <c r="E11" i="18"/>
  <c r="C11" i="18"/>
  <c r="E11" i="19"/>
  <c r="D12" i="19"/>
  <c r="D15" i="28"/>
  <c r="E12" i="28"/>
  <c r="F12" i="28" s="1"/>
  <c r="G12" i="28" s="1"/>
  <c r="G14" i="28" s="1"/>
  <c r="G14" i="30"/>
  <c r="C13" i="30"/>
  <c r="D10" i="33"/>
  <c r="D12" i="33" s="1"/>
  <c r="C10" i="37"/>
  <c r="C16" i="37" s="1"/>
  <c r="D10" i="39"/>
  <c r="D11" i="39"/>
  <c r="C14" i="45"/>
  <c r="D11" i="46"/>
  <c r="E6" i="54"/>
  <c r="E11" i="55"/>
  <c r="E10" i="55"/>
  <c r="F8" i="55"/>
  <c r="F4" i="62"/>
  <c r="F7" i="62" s="1"/>
  <c r="E6" i="62"/>
  <c r="D10" i="63"/>
  <c r="C10" i="66"/>
  <c r="C12" i="66" s="1"/>
  <c r="D11" i="75"/>
  <c r="D10" i="75"/>
  <c r="E8" i="75"/>
  <c r="D7" i="83"/>
  <c r="D6" i="83"/>
  <c r="E4" i="83"/>
  <c r="E6" i="83" s="1"/>
  <c r="E14" i="30"/>
  <c r="E10" i="39"/>
  <c r="C10" i="40"/>
  <c r="C10" i="41"/>
  <c r="D7" i="43"/>
  <c r="C16" i="45"/>
  <c r="D12" i="45"/>
  <c r="D10" i="48"/>
  <c r="C10" i="48"/>
  <c r="D10" i="52"/>
  <c r="F6" i="54"/>
  <c r="E10" i="63"/>
  <c r="C10" i="70"/>
  <c r="C14" i="82"/>
  <c r="D14" i="92"/>
  <c r="D12" i="31"/>
  <c r="E12" i="31" s="1"/>
  <c r="E14" i="31" s="1"/>
  <c r="E8" i="33"/>
  <c r="D6" i="34"/>
  <c r="E4" i="34"/>
  <c r="C14" i="34"/>
  <c r="D12" i="34"/>
  <c r="D14" i="34" s="1"/>
  <c r="C11" i="40"/>
  <c r="C11" i="41"/>
  <c r="C11" i="42"/>
  <c r="D10" i="47"/>
  <c r="D7" i="51"/>
  <c r="D6" i="51"/>
  <c r="D6" i="58"/>
  <c r="E4" i="58"/>
  <c r="D10" i="60"/>
  <c r="D12" i="60" s="1"/>
  <c r="C11" i="70"/>
  <c r="C14" i="78"/>
  <c r="D12" i="78"/>
  <c r="E12" i="78" s="1"/>
  <c r="E14" i="78" s="1"/>
  <c r="F12" i="1"/>
  <c r="C11" i="5"/>
  <c r="E4" i="8"/>
  <c r="E6" i="8" s="1"/>
  <c r="E4" i="9"/>
  <c r="E4" i="11"/>
  <c r="E8" i="11"/>
  <c r="E8" i="13"/>
  <c r="D6" i="14"/>
  <c r="D7" i="14"/>
  <c r="E4" i="19"/>
  <c r="D11" i="24"/>
  <c r="D11" i="30"/>
  <c r="D6" i="31"/>
  <c r="E4" i="31"/>
  <c r="C11" i="33"/>
  <c r="C10" i="33"/>
  <c r="C12" i="33" s="1"/>
  <c r="C15" i="41"/>
  <c r="D12" i="41"/>
  <c r="C14" i="42"/>
  <c r="C16" i="42" s="1"/>
  <c r="D10" i="43"/>
  <c r="F7" i="51"/>
  <c r="F6" i="51"/>
  <c r="G4" i="51"/>
  <c r="E11" i="52"/>
  <c r="F8" i="52"/>
  <c r="E4" i="53"/>
  <c r="D7" i="53"/>
  <c r="D6" i="53"/>
  <c r="E11" i="60"/>
  <c r="E10" i="60"/>
  <c r="C11" i="82"/>
  <c r="C17" i="82"/>
  <c r="C10" i="82"/>
  <c r="C10" i="32"/>
  <c r="C11" i="32"/>
  <c r="C16" i="34"/>
  <c r="D10" i="36"/>
  <c r="E8" i="36"/>
  <c r="C15" i="43"/>
  <c r="E4" i="45"/>
  <c r="E7" i="45" s="1"/>
  <c r="D7" i="45"/>
  <c r="F8" i="60"/>
  <c r="C14" i="70"/>
  <c r="C17" i="70"/>
  <c r="C18" i="70" s="1"/>
  <c r="F12" i="70"/>
  <c r="E15" i="70"/>
  <c r="C13" i="88"/>
  <c r="C10" i="88"/>
  <c r="C13" i="3"/>
  <c r="C17" i="3" s="1"/>
  <c r="E10" i="4"/>
  <c r="D12" i="5"/>
  <c r="D12" i="8"/>
  <c r="E8" i="10"/>
  <c r="F8" i="10" s="1"/>
  <c r="F11" i="10" s="1"/>
  <c r="E10" i="12"/>
  <c r="E4" i="13"/>
  <c r="D11" i="13"/>
  <c r="D11" i="14"/>
  <c r="C16" i="14"/>
  <c r="D6" i="16"/>
  <c r="E12" i="16"/>
  <c r="F11" i="17"/>
  <c r="F8" i="22"/>
  <c r="F10" i="22" s="1"/>
  <c r="E11" i="22"/>
  <c r="C12" i="24"/>
  <c r="D10" i="28"/>
  <c r="D11" i="29"/>
  <c r="E8" i="29"/>
  <c r="D14" i="30"/>
  <c r="E8" i="35"/>
  <c r="D11" i="35"/>
  <c r="D11" i="36"/>
  <c r="C14" i="36"/>
  <c r="C16" i="36" s="1"/>
  <c r="E8" i="38"/>
  <c r="F4" i="43"/>
  <c r="F7" i="43" s="1"/>
  <c r="D12" i="43"/>
  <c r="C16" i="43"/>
  <c r="E4" i="46"/>
  <c r="E11" i="48"/>
  <c r="E6" i="51"/>
  <c r="D10" i="57"/>
  <c r="D12" i="57" s="1"/>
  <c r="D7" i="58"/>
  <c r="D7" i="63"/>
  <c r="D6" i="63"/>
  <c r="D10" i="67"/>
  <c r="E14" i="70"/>
  <c r="E11" i="24"/>
  <c r="E10" i="24"/>
  <c r="F4" i="1"/>
  <c r="F6" i="1" s="1"/>
  <c r="D12" i="3"/>
  <c r="D11" i="15"/>
  <c r="E8" i="15"/>
  <c r="D6" i="18"/>
  <c r="D7" i="18"/>
  <c r="C11" i="10"/>
  <c r="E6" i="16"/>
  <c r="D14" i="16"/>
  <c r="D15" i="17"/>
  <c r="C10" i="25"/>
  <c r="D11" i="28"/>
  <c r="C15" i="28"/>
  <c r="D6" i="32"/>
  <c r="E4" i="32"/>
  <c r="E10" i="34"/>
  <c r="D15" i="36"/>
  <c r="D6" i="45"/>
  <c r="D10" i="58"/>
  <c r="E8" i="58"/>
  <c r="C14" i="67"/>
  <c r="C16" i="67"/>
  <c r="D12" i="67"/>
  <c r="C15" i="70"/>
  <c r="E8" i="14"/>
  <c r="F8" i="14" s="1"/>
  <c r="F8" i="24"/>
  <c r="C10" i="31"/>
  <c r="C13" i="31"/>
  <c r="C14" i="31" s="1"/>
  <c r="D6" i="1"/>
  <c r="C11" i="6"/>
  <c r="C10" i="7"/>
  <c r="D11" i="8"/>
  <c r="D7" i="19"/>
  <c r="C10" i="21"/>
  <c r="D7" i="34"/>
  <c r="C14" i="41"/>
  <c r="C16" i="41" s="1"/>
  <c r="D6" i="43"/>
  <c r="D10" i="44"/>
  <c r="F4" i="47"/>
  <c r="F7" i="47" s="1"/>
  <c r="D11" i="51"/>
  <c r="E8" i="51"/>
  <c r="C13" i="64"/>
  <c r="C17" i="64" s="1"/>
  <c r="C10" i="64"/>
  <c r="C19" i="70"/>
  <c r="D16" i="70"/>
  <c r="E4" i="82"/>
  <c r="D7" i="82"/>
  <c r="D6" i="82"/>
  <c r="D7" i="92"/>
  <c r="D6" i="92"/>
  <c r="E4" i="92"/>
  <c r="D6" i="54"/>
  <c r="D12" i="54" s="1"/>
  <c r="C10" i="63"/>
  <c r="C12" i="63" s="1"/>
  <c r="D7" i="75"/>
  <c r="D11" i="76"/>
  <c r="D7" i="88"/>
  <c r="C17" i="90"/>
  <c r="F6" i="91"/>
  <c r="D11" i="94"/>
  <c r="D11" i="99"/>
  <c r="C12" i="74"/>
  <c r="C15" i="82"/>
  <c r="D10" i="88"/>
  <c r="C14" i="94"/>
  <c r="D12" i="99"/>
  <c r="D12" i="94"/>
  <c r="C9" i="95"/>
  <c r="C18" i="96"/>
  <c r="F14" i="30"/>
  <c r="C14" i="35"/>
  <c r="C11" i="43"/>
  <c r="D6" i="47"/>
  <c r="D16" i="47" s="1"/>
  <c r="C10" i="51"/>
  <c r="C12" i="51" s="1"/>
  <c r="D12" i="65"/>
  <c r="C16" i="68"/>
  <c r="C14" i="80"/>
  <c r="D11" i="84"/>
  <c r="E7" i="91"/>
  <c r="C15" i="94"/>
  <c r="C10" i="95"/>
  <c r="D12" i="96"/>
  <c r="C14" i="96"/>
  <c r="C19" i="96"/>
  <c r="E10" i="97"/>
  <c r="C11" i="75"/>
  <c r="D14" i="76"/>
  <c r="G4" i="91"/>
  <c r="D11" i="56"/>
  <c r="C10" i="59"/>
  <c r="C12" i="59" s="1"/>
  <c r="C12" i="62"/>
  <c r="D11" i="62"/>
  <c r="D10" i="66"/>
  <c r="D12" i="66" s="1"/>
  <c r="E8" i="72"/>
  <c r="E4" i="75"/>
  <c r="C14" i="75"/>
  <c r="C16" i="78"/>
  <c r="D11" i="78"/>
  <c r="C15" i="78"/>
  <c r="C23" i="84"/>
  <c r="D10" i="86"/>
  <c r="D10" i="91"/>
  <c r="C18" i="92"/>
  <c r="E4" i="96"/>
  <c r="C15" i="96"/>
  <c r="E4" i="97"/>
  <c r="D10" i="98"/>
  <c r="E8" i="99"/>
  <c r="E8" i="54"/>
  <c r="D11" i="60"/>
  <c r="E4" i="68"/>
  <c r="F4" i="68" s="1"/>
  <c r="D10" i="69"/>
  <c r="D6" i="70"/>
  <c r="E4" i="72"/>
  <c r="D12" i="75"/>
  <c r="D10" i="76"/>
  <c r="D16" i="76" s="1"/>
  <c r="C15" i="77"/>
  <c r="D14" i="78"/>
  <c r="E8" i="86"/>
  <c r="D11" i="90"/>
  <c r="C10" i="90"/>
  <c r="D6" i="91"/>
  <c r="C10" i="92"/>
  <c r="C19" i="92"/>
  <c r="C10" i="94"/>
  <c r="C17" i="94"/>
  <c r="E8" i="98"/>
  <c r="D11" i="98"/>
  <c r="D11" i="21"/>
  <c r="D10" i="24"/>
  <c r="D12" i="24" s="1"/>
  <c r="D10" i="53"/>
  <c r="C12" i="54"/>
  <c r="F9" i="65"/>
  <c r="F12" i="65" s="1"/>
  <c r="D6" i="67"/>
  <c r="E15" i="68"/>
  <c r="E8" i="69"/>
  <c r="D11" i="73"/>
  <c r="E11" i="74"/>
  <c r="C16" i="75"/>
  <c r="C11" i="76"/>
  <c r="D12" i="77"/>
  <c r="C16" i="77"/>
  <c r="E6" i="78"/>
  <c r="C15" i="81"/>
  <c r="E8" i="90"/>
  <c r="D10" i="90"/>
  <c r="E6" i="91"/>
  <c r="C14" i="92"/>
  <c r="C12" i="98"/>
  <c r="E11" i="101"/>
  <c r="F8" i="101"/>
  <c r="E10" i="101"/>
  <c r="E16" i="101" s="1"/>
  <c r="F6" i="101"/>
  <c r="G4" i="101"/>
  <c r="F7" i="101"/>
  <c r="D16" i="71"/>
  <c r="D12" i="71"/>
  <c r="E12" i="71" s="1"/>
  <c r="E15" i="71" s="1"/>
  <c r="C13" i="71"/>
  <c r="C17" i="71" s="1"/>
  <c r="C18" i="71" s="1"/>
  <c r="D6" i="71"/>
  <c r="D7" i="71"/>
  <c r="D12" i="100"/>
  <c r="F4" i="100"/>
  <c r="E7" i="100"/>
  <c r="E6" i="100"/>
  <c r="E12" i="100" s="1"/>
  <c r="G8" i="100"/>
  <c r="F11" i="100"/>
  <c r="F10" i="100"/>
  <c r="D15" i="12"/>
  <c r="E12" i="12"/>
  <c r="D14" i="12"/>
  <c r="F8" i="5"/>
  <c r="E11" i="5"/>
  <c r="E10" i="5"/>
  <c r="C17" i="2"/>
  <c r="C15" i="2"/>
  <c r="D15" i="3"/>
  <c r="E12" i="3"/>
  <c r="E4" i="2"/>
  <c r="D6" i="2"/>
  <c r="D7" i="2"/>
  <c r="E6" i="4"/>
  <c r="E7" i="4"/>
  <c r="F4" i="4"/>
  <c r="D14" i="3"/>
  <c r="F14" i="1"/>
  <c r="F15" i="1"/>
  <c r="G12" i="1"/>
  <c r="H14" i="15"/>
  <c r="H15" i="15"/>
  <c r="I12" i="15"/>
  <c r="E7" i="5"/>
  <c r="E6" i="5"/>
  <c r="C18" i="6"/>
  <c r="D16" i="6"/>
  <c r="D11" i="9"/>
  <c r="C15" i="10"/>
  <c r="C17" i="10"/>
  <c r="C19" i="10" s="1"/>
  <c r="C10" i="10"/>
  <c r="C14" i="16"/>
  <c r="C17" i="46"/>
  <c r="C19" i="46" s="1"/>
  <c r="C14" i="46"/>
  <c r="F10" i="8"/>
  <c r="F11" i="8"/>
  <c r="G8" i="8"/>
  <c r="C18" i="9"/>
  <c r="D16" i="9"/>
  <c r="C19" i="9"/>
  <c r="F8" i="15"/>
  <c r="E10" i="15"/>
  <c r="E11" i="15"/>
  <c r="G14" i="15"/>
  <c r="G15" i="15"/>
  <c r="F15" i="15"/>
  <c r="D11" i="1"/>
  <c r="C14" i="1"/>
  <c r="E8" i="1"/>
  <c r="D14" i="1"/>
  <c r="C14" i="2"/>
  <c r="E8" i="3"/>
  <c r="E11" i="4"/>
  <c r="F4" i="5"/>
  <c r="C14" i="6"/>
  <c r="C20" i="6" s="1"/>
  <c r="D12" i="6"/>
  <c r="D7" i="8"/>
  <c r="E10" i="10"/>
  <c r="F4" i="13"/>
  <c r="E6" i="13"/>
  <c r="E7" i="13"/>
  <c r="F6" i="14"/>
  <c r="F7" i="14"/>
  <c r="G4" i="14"/>
  <c r="F11" i="14"/>
  <c r="G8" i="14"/>
  <c r="D14" i="14"/>
  <c r="D15" i="14"/>
  <c r="F11" i="22"/>
  <c r="G8" i="22"/>
  <c r="F6" i="24"/>
  <c r="G4" i="24"/>
  <c r="F7" i="24"/>
  <c r="C14" i="12"/>
  <c r="C15" i="12"/>
  <c r="F7" i="1"/>
  <c r="C16" i="1"/>
  <c r="E12" i="2"/>
  <c r="D14" i="2"/>
  <c r="F10" i="4"/>
  <c r="F11" i="4"/>
  <c r="C14" i="4"/>
  <c r="C15" i="4"/>
  <c r="C16" i="4"/>
  <c r="E7" i="8"/>
  <c r="C14" i="11"/>
  <c r="C10" i="12"/>
  <c r="D12" i="13"/>
  <c r="C18" i="14"/>
  <c r="C19" i="14"/>
  <c r="D16" i="14"/>
  <c r="D10" i="1"/>
  <c r="D11" i="2"/>
  <c r="D10" i="2"/>
  <c r="C16" i="2"/>
  <c r="E4" i="3"/>
  <c r="D10" i="3"/>
  <c r="G8" i="4"/>
  <c r="D12" i="4"/>
  <c r="D11" i="5"/>
  <c r="C14" i="5"/>
  <c r="C19" i="6"/>
  <c r="C6" i="7"/>
  <c r="C16" i="7" s="1"/>
  <c r="C15" i="9"/>
  <c r="D12" i="9"/>
  <c r="C14" i="9"/>
  <c r="C20" i="9" s="1"/>
  <c r="E11" i="10"/>
  <c r="D12" i="11"/>
  <c r="C15" i="11"/>
  <c r="C16" i="11"/>
  <c r="C16" i="12"/>
  <c r="F10" i="14"/>
  <c r="E17" i="15"/>
  <c r="E15" i="15"/>
  <c r="E14" i="15"/>
  <c r="C11" i="22"/>
  <c r="C10" i="22"/>
  <c r="C12" i="22" s="1"/>
  <c r="E14" i="14"/>
  <c r="E15" i="14"/>
  <c r="F12" i="14"/>
  <c r="G8" i="16"/>
  <c r="F11" i="16"/>
  <c r="F10" i="16"/>
  <c r="G4" i="1"/>
  <c r="C10" i="1"/>
  <c r="C11" i="1"/>
  <c r="E8" i="2"/>
  <c r="C16" i="3"/>
  <c r="C14" i="3"/>
  <c r="D16" i="5"/>
  <c r="C15" i="6"/>
  <c r="D10" i="9"/>
  <c r="E4" i="12"/>
  <c r="D7" i="12"/>
  <c r="C16" i="13"/>
  <c r="D10" i="16"/>
  <c r="D17" i="16"/>
  <c r="D11" i="16"/>
  <c r="E6" i="18"/>
  <c r="E7" i="18"/>
  <c r="F4" i="18"/>
  <c r="F14" i="15"/>
  <c r="E7" i="17"/>
  <c r="F4" i="17"/>
  <c r="E6" i="17"/>
  <c r="E7" i="22"/>
  <c r="F4" i="22"/>
  <c r="E6" i="22"/>
  <c r="E12" i="22" s="1"/>
  <c r="E6" i="10"/>
  <c r="E7" i="10"/>
  <c r="F4" i="10"/>
  <c r="D18" i="10"/>
  <c r="E16" i="10"/>
  <c r="D19" i="10"/>
  <c r="D15" i="1"/>
  <c r="D10" i="4"/>
  <c r="D13" i="4"/>
  <c r="D17" i="4" s="1"/>
  <c r="C17" i="5"/>
  <c r="C18" i="5" s="1"/>
  <c r="C19" i="5"/>
  <c r="E8" i="6"/>
  <c r="D11" i="6"/>
  <c r="G8" i="10"/>
  <c r="F10" i="10"/>
  <c r="C14" i="10"/>
  <c r="C13" i="13"/>
  <c r="C17" i="13" s="1"/>
  <c r="C11" i="13"/>
  <c r="C10" i="13"/>
  <c r="F7" i="15"/>
  <c r="G4" i="15"/>
  <c r="D16" i="8"/>
  <c r="C19" i="8"/>
  <c r="C18" i="8"/>
  <c r="C10" i="11"/>
  <c r="D10" i="12"/>
  <c r="E11" i="13"/>
  <c r="C14" i="14"/>
  <c r="D10" i="20"/>
  <c r="D11" i="20"/>
  <c r="E4" i="21"/>
  <c r="D6" i="21"/>
  <c r="E10" i="21"/>
  <c r="F8" i="21"/>
  <c r="C11" i="19"/>
  <c r="F7" i="29"/>
  <c r="G4" i="29"/>
  <c r="F6" i="29"/>
  <c r="F8" i="9"/>
  <c r="E11" i="9"/>
  <c r="E10" i="9"/>
  <c r="D10" i="10"/>
  <c r="F11" i="12"/>
  <c r="F10" i="12"/>
  <c r="G8" i="12"/>
  <c r="E6" i="15"/>
  <c r="E7" i="15"/>
  <c r="D7" i="17"/>
  <c r="D6" i="17"/>
  <c r="D10" i="17"/>
  <c r="E10" i="18"/>
  <c r="F8" i="18"/>
  <c r="D11" i="19"/>
  <c r="D10" i="19"/>
  <c r="E10" i="40"/>
  <c r="E11" i="40"/>
  <c r="F8" i="40"/>
  <c r="D11" i="12"/>
  <c r="G8" i="17"/>
  <c r="F10" i="17"/>
  <c r="E14" i="17"/>
  <c r="D6" i="5"/>
  <c r="D7" i="5"/>
  <c r="D14" i="5"/>
  <c r="C15" i="7"/>
  <c r="D14" i="10"/>
  <c r="E11" i="12"/>
  <c r="E10" i="14"/>
  <c r="E11" i="14"/>
  <c r="D10" i="27"/>
  <c r="D12" i="27" s="1"/>
  <c r="E8" i="27"/>
  <c r="D11" i="27"/>
  <c r="D10" i="42"/>
  <c r="E8" i="42"/>
  <c r="D11" i="42"/>
  <c r="E11" i="23"/>
  <c r="E10" i="23"/>
  <c r="F8" i="23"/>
  <c r="E6" i="24"/>
  <c r="E7" i="24"/>
  <c r="G11" i="32"/>
  <c r="G10" i="32"/>
  <c r="D16" i="35"/>
  <c r="C19" i="35"/>
  <c r="C18" i="35"/>
  <c r="C20" i="35" s="1"/>
  <c r="D7" i="39"/>
  <c r="D6" i="39"/>
  <c r="E4" i="39"/>
  <c r="D7" i="26"/>
  <c r="D6" i="26"/>
  <c r="D8" i="26" s="1"/>
  <c r="E4" i="26"/>
  <c r="C10" i="27"/>
  <c r="C11" i="27"/>
  <c r="D14" i="43"/>
  <c r="D15" i="43"/>
  <c r="E12" i="43"/>
  <c r="E7" i="19"/>
  <c r="D10" i="21"/>
  <c r="C12" i="27"/>
  <c r="E14" i="28"/>
  <c r="C13" i="29"/>
  <c r="C14" i="29" s="1"/>
  <c r="C11" i="29"/>
  <c r="C10" i="29"/>
  <c r="D12" i="29"/>
  <c r="D7" i="35"/>
  <c r="E4" i="35"/>
  <c r="D6" i="35"/>
  <c r="F8" i="38"/>
  <c r="E11" i="38"/>
  <c r="E10" i="38"/>
  <c r="C10" i="14"/>
  <c r="C20" i="14" s="1"/>
  <c r="D7" i="15"/>
  <c r="D7" i="20"/>
  <c r="D6" i="20"/>
  <c r="C12" i="21"/>
  <c r="E7" i="38"/>
  <c r="E6" i="38"/>
  <c r="F4" i="38"/>
  <c r="E4" i="40"/>
  <c r="D6" i="40"/>
  <c r="D7" i="40"/>
  <c r="D6" i="6"/>
  <c r="C10" i="8"/>
  <c r="C11" i="8"/>
  <c r="C14" i="8"/>
  <c r="C15" i="8"/>
  <c r="D6" i="9"/>
  <c r="D6" i="11"/>
  <c r="D15" i="15"/>
  <c r="D14" i="15"/>
  <c r="F4" i="16"/>
  <c r="C16" i="19"/>
  <c r="F8" i="19"/>
  <c r="E12" i="19"/>
  <c r="E4" i="20"/>
  <c r="C11" i="23"/>
  <c r="C10" i="23"/>
  <c r="C12" i="23" s="1"/>
  <c r="E4" i="36"/>
  <c r="D6" i="36"/>
  <c r="D16" i="36" s="1"/>
  <c r="D7" i="36"/>
  <c r="F4" i="45"/>
  <c r="E6" i="45"/>
  <c r="E6" i="6"/>
  <c r="D10" i="8"/>
  <c r="D14" i="8"/>
  <c r="E6" i="9"/>
  <c r="E6" i="11"/>
  <c r="E11" i="17"/>
  <c r="E10" i="17"/>
  <c r="E10" i="19"/>
  <c r="D12" i="32"/>
  <c r="E6" i="32"/>
  <c r="F4" i="32"/>
  <c r="H8" i="34"/>
  <c r="G11" i="34"/>
  <c r="G10" i="34"/>
  <c r="E10" i="35"/>
  <c r="E11" i="35"/>
  <c r="F8" i="35"/>
  <c r="D6" i="37"/>
  <c r="D16" i="37" s="1"/>
  <c r="E4" i="37"/>
  <c r="F14" i="40"/>
  <c r="G12" i="40"/>
  <c r="F15" i="40"/>
  <c r="E12" i="46"/>
  <c r="D14" i="46"/>
  <c r="D15" i="46"/>
  <c r="F4" i="46"/>
  <c r="E7" i="46"/>
  <c r="E6" i="46"/>
  <c r="F11" i="52"/>
  <c r="F10" i="52"/>
  <c r="G8" i="52"/>
  <c r="E11" i="20"/>
  <c r="D7" i="22"/>
  <c r="E15" i="28"/>
  <c r="D15" i="30"/>
  <c r="D10" i="31"/>
  <c r="E8" i="31"/>
  <c r="D10" i="32"/>
  <c r="D13" i="32"/>
  <c r="D14" i="35"/>
  <c r="D15" i="35"/>
  <c r="E12" i="35"/>
  <c r="E10" i="36"/>
  <c r="E11" i="36"/>
  <c r="F8" i="36"/>
  <c r="C11" i="38"/>
  <c r="C17" i="38"/>
  <c r="C10" i="38"/>
  <c r="E10" i="44"/>
  <c r="E11" i="44"/>
  <c r="F8" i="44"/>
  <c r="C10" i="15"/>
  <c r="C11" i="15"/>
  <c r="C14" i="15"/>
  <c r="C15" i="15"/>
  <c r="C16" i="15"/>
  <c r="C16" i="16"/>
  <c r="D12" i="18"/>
  <c r="F8" i="20"/>
  <c r="C12" i="25"/>
  <c r="D10" i="25"/>
  <c r="D11" i="25"/>
  <c r="D7" i="28"/>
  <c r="E4" i="28"/>
  <c r="E10" i="28"/>
  <c r="E11" i="28"/>
  <c r="F15" i="28"/>
  <c r="D16" i="28"/>
  <c r="E15" i="30"/>
  <c r="C15" i="31"/>
  <c r="E7" i="32"/>
  <c r="C16" i="39"/>
  <c r="F8" i="39"/>
  <c r="E14" i="40"/>
  <c r="D6" i="42"/>
  <c r="D7" i="42"/>
  <c r="E4" i="42"/>
  <c r="E4" i="44"/>
  <c r="D7" i="44"/>
  <c r="D14" i="44"/>
  <c r="D15" i="44"/>
  <c r="E12" i="44"/>
  <c r="C14" i="44"/>
  <c r="C16" i="44" s="1"/>
  <c r="D10" i="11"/>
  <c r="D10" i="15"/>
  <c r="C14" i="17"/>
  <c r="C16" i="17" s="1"/>
  <c r="C15" i="17"/>
  <c r="E10" i="20"/>
  <c r="D10" i="22"/>
  <c r="D12" i="22" s="1"/>
  <c r="D6" i="23"/>
  <c r="D12" i="23" s="1"/>
  <c r="E4" i="23"/>
  <c r="D12" i="25"/>
  <c r="E8" i="25"/>
  <c r="F8" i="28"/>
  <c r="G15" i="28"/>
  <c r="D7" i="30"/>
  <c r="E4" i="30"/>
  <c r="E10" i="30"/>
  <c r="E11" i="30"/>
  <c r="F15" i="30"/>
  <c r="D15" i="31"/>
  <c r="E11" i="33"/>
  <c r="F8" i="33"/>
  <c r="E12" i="34"/>
  <c r="D15" i="34"/>
  <c r="D15" i="37"/>
  <c r="E12" i="37"/>
  <c r="C14" i="38"/>
  <c r="D12" i="38"/>
  <c r="E15" i="40"/>
  <c r="C15" i="44"/>
  <c r="F10" i="48"/>
  <c r="G8" i="48"/>
  <c r="D11" i="23"/>
  <c r="D6" i="28"/>
  <c r="E11" i="29"/>
  <c r="F8" i="29"/>
  <c r="F8" i="30"/>
  <c r="G15" i="30"/>
  <c r="E15" i="31"/>
  <c r="F12" i="31"/>
  <c r="D11" i="32"/>
  <c r="E6" i="33"/>
  <c r="E7" i="33"/>
  <c r="E10" i="33"/>
  <c r="E11" i="34"/>
  <c r="D7" i="37"/>
  <c r="C15" i="38"/>
  <c r="F6" i="43"/>
  <c r="G4" i="43"/>
  <c r="D6" i="44"/>
  <c r="D14" i="28"/>
  <c r="D17" i="28"/>
  <c r="E6" i="29"/>
  <c r="E7" i="29"/>
  <c r="E10" i="29"/>
  <c r="D6" i="30"/>
  <c r="D16" i="30" s="1"/>
  <c r="E11" i="32"/>
  <c r="E10" i="32"/>
  <c r="F4" i="33"/>
  <c r="D11" i="37"/>
  <c r="E8" i="37"/>
  <c r="C16" i="38"/>
  <c r="E11" i="39"/>
  <c r="D15" i="40"/>
  <c r="D11" i="45"/>
  <c r="E8" i="45"/>
  <c r="C11" i="46"/>
  <c r="C10" i="46"/>
  <c r="D16" i="46"/>
  <c r="F6" i="47"/>
  <c r="G4" i="47"/>
  <c r="D15" i="47"/>
  <c r="E12" i="47"/>
  <c r="D11" i="55"/>
  <c r="D10" i="55"/>
  <c r="F14" i="28"/>
  <c r="C11" i="31"/>
  <c r="D14" i="31"/>
  <c r="D16" i="31" s="1"/>
  <c r="D7" i="32"/>
  <c r="F10" i="32"/>
  <c r="F10" i="34"/>
  <c r="C15" i="34"/>
  <c r="C14" i="40"/>
  <c r="C16" i="40" s="1"/>
  <c r="D14" i="41"/>
  <c r="D7" i="46"/>
  <c r="D11" i="49"/>
  <c r="E8" i="49"/>
  <c r="F8" i="54"/>
  <c r="E11" i="54"/>
  <c r="E10" i="54"/>
  <c r="E12" i="54" s="1"/>
  <c r="C11" i="57"/>
  <c r="C10" i="57"/>
  <c r="C12" i="57" s="1"/>
  <c r="E7" i="59"/>
  <c r="F4" i="59"/>
  <c r="E6" i="59"/>
  <c r="D10" i="64"/>
  <c r="D13" i="64"/>
  <c r="D17" i="64" s="1"/>
  <c r="E4" i="41"/>
  <c r="E8" i="41"/>
  <c r="E7" i="43"/>
  <c r="C11" i="44"/>
  <c r="E8" i="47"/>
  <c r="E10" i="48"/>
  <c r="E4" i="49"/>
  <c r="D6" i="49"/>
  <c r="F8" i="53"/>
  <c r="E11" i="53"/>
  <c r="D7" i="56"/>
  <c r="E4" i="56"/>
  <c r="D6" i="56"/>
  <c r="D12" i="56" s="1"/>
  <c r="G8" i="56"/>
  <c r="F10" i="56"/>
  <c r="F11" i="60"/>
  <c r="G8" i="60"/>
  <c r="F10" i="60"/>
  <c r="E6" i="34"/>
  <c r="C11" i="34"/>
  <c r="D7" i="41"/>
  <c r="D10" i="41"/>
  <c r="C12" i="49"/>
  <c r="D7" i="52"/>
  <c r="E4" i="52"/>
  <c r="D6" i="52"/>
  <c r="D12" i="52" s="1"/>
  <c r="C11" i="53"/>
  <c r="C10" i="53"/>
  <c r="C12" i="53" s="1"/>
  <c r="C11" i="56"/>
  <c r="C10" i="56"/>
  <c r="C12" i="56" s="1"/>
  <c r="D10" i="59"/>
  <c r="E8" i="59"/>
  <c r="D11" i="59"/>
  <c r="C11" i="60"/>
  <c r="C10" i="60"/>
  <c r="C12" i="60" s="1"/>
  <c r="C17" i="28"/>
  <c r="C18" i="28" s="1"/>
  <c r="C20" i="28" s="1"/>
  <c r="C13" i="32"/>
  <c r="C15" i="32" s="1"/>
  <c r="D10" i="34"/>
  <c r="D16" i="34" s="1"/>
  <c r="D11" i="34"/>
  <c r="C15" i="36"/>
  <c r="C15" i="37"/>
  <c r="D10" i="40"/>
  <c r="D15" i="42"/>
  <c r="E8" i="46"/>
  <c r="D10" i="46"/>
  <c r="C15" i="48"/>
  <c r="D12" i="48"/>
  <c r="C11" i="52"/>
  <c r="C10" i="52"/>
  <c r="C12" i="52" s="1"/>
  <c r="F8" i="58"/>
  <c r="E11" i="58"/>
  <c r="E10" i="58"/>
  <c r="D14" i="70"/>
  <c r="D17" i="70"/>
  <c r="E12" i="36"/>
  <c r="C15" i="40"/>
  <c r="E12" i="42"/>
  <c r="E8" i="43"/>
  <c r="E12" i="45"/>
  <c r="C11" i="47"/>
  <c r="D6" i="48"/>
  <c r="E4" i="48"/>
  <c r="D7" i="55"/>
  <c r="E4" i="55"/>
  <c r="D6" i="55"/>
  <c r="D12" i="55" s="1"/>
  <c r="D11" i="38"/>
  <c r="C15" i="46"/>
  <c r="E7" i="47"/>
  <c r="C13" i="47"/>
  <c r="C15" i="47" s="1"/>
  <c r="C14" i="48"/>
  <c r="C16" i="48" s="1"/>
  <c r="D7" i="49"/>
  <c r="D10" i="49"/>
  <c r="F8" i="57"/>
  <c r="E11" i="57"/>
  <c r="E7" i="65"/>
  <c r="E14" i="65" s="1"/>
  <c r="E8" i="65"/>
  <c r="F4" i="65"/>
  <c r="D7" i="50"/>
  <c r="D14" i="65"/>
  <c r="D15" i="67"/>
  <c r="D14" i="67"/>
  <c r="F7" i="68"/>
  <c r="G4" i="68"/>
  <c r="F6" i="68"/>
  <c r="E10" i="68"/>
  <c r="E11" i="69"/>
  <c r="F8" i="69"/>
  <c r="F11" i="73"/>
  <c r="E17" i="75"/>
  <c r="E11" i="75"/>
  <c r="E13" i="76"/>
  <c r="D12" i="51"/>
  <c r="G4" i="62"/>
  <c r="D10" i="62"/>
  <c r="D12" i="62" s="1"/>
  <c r="E4" i="63"/>
  <c r="E10" i="64"/>
  <c r="E11" i="64"/>
  <c r="E4" i="66"/>
  <c r="D7" i="66"/>
  <c r="F4" i="67"/>
  <c r="E7" i="67"/>
  <c r="E12" i="67"/>
  <c r="F8" i="68"/>
  <c r="E10" i="69"/>
  <c r="D10" i="71"/>
  <c r="F8" i="72"/>
  <c r="E11" i="72"/>
  <c r="E10" i="72"/>
  <c r="D7" i="73"/>
  <c r="E4" i="73"/>
  <c r="D14" i="83"/>
  <c r="D15" i="83"/>
  <c r="E12" i="83"/>
  <c r="E10" i="62"/>
  <c r="E12" i="62" s="1"/>
  <c r="F8" i="62"/>
  <c r="F10" i="63"/>
  <c r="F11" i="63"/>
  <c r="F11" i="64"/>
  <c r="G8" i="64"/>
  <c r="F10" i="64"/>
  <c r="F11" i="66"/>
  <c r="G8" i="66"/>
  <c r="F10" i="66"/>
  <c r="C11" i="69"/>
  <c r="C13" i="69"/>
  <c r="C15" i="69" s="1"/>
  <c r="C10" i="69"/>
  <c r="C10" i="73"/>
  <c r="C12" i="73" s="1"/>
  <c r="C11" i="73"/>
  <c r="D12" i="63"/>
  <c r="G8" i="63"/>
  <c r="D16" i="67"/>
  <c r="E11" i="68"/>
  <c r="E7" i="76"/>
  <c r="F4" i="76"/>
  <c r="E6" i="76"/>
  <c r="E7" i="80"/>
  <c r="F4" i="80"/>
  <c r="E6" i="80"/>
  <c r="D11" i="66"/>
  <c r="D12" i="69"/>
  <c r="F15" i="70"/>
  <c r="F14" i="70"/>
  <c r="G12" i="70"/>
  <c r="E16" i="70"/>
  <c r="E6" i="50"/>
  <c r="E8" i="50" s="1"/>
  <c r="D11" i="54"/>
  <c r="D11" i="58"/>
  <c r="F6" i="62"/>
  <c r="C15" i="64"/>
  <c r="C13" i="65"/>
  <c r="E11" i="66"/>
  <c r="E6" i="67"/>
  <c r="D14" i="68"/>
  <c r="D16" i="68" s="1"/>
  <c r="D15" i="68"/>
  <c r="F4" i="71"/>
  <c r="E6" i="71"/>
  <c r="D12" i="72"/>
  <c r="E7" i="51"/>
  <c r="E7" i="53"/>
  <c r="E7" i="54"/>
  <c r="E7" i="57"/>
  <c r="D11" i="57"/>
  <c r="E7" i="58"/>
  <c r="D6" i="59"/>
  <c r="D7" i="60"/>
  <c r="C14" i="64"/>
  <c r="F13" i="65"/>
  <c r="E14" i="68"/>
  <c r="F12" i="68"/>
  <c r="D11" i="71"/>
  <c r="C10" i="72"/>
  <c r="C12" i="72" s="1"/>
  <c r="G4" i="54"/>
  <c r="F11" i="55"/>
  <c r="F4" i="57"/>
  <c r="E4" i="60"/>
  <c r="C14" i="65"/>
  <c r="G9" i="65"/>
  <c r="E7" i="68"/>
  <c r="E6" i="68"/>
  <c r="D6" i="69"/>
  <c r="E4" i="69"/>
  <c r="D10" i="70"/>
  <c r="E8" i="70"/>
  <c r="D11" i="70"/>
  <c r="F4" i="75"/>
  <c r="D16" i="77"/>
  <c r="C19" i="77"/>
  <c r="C18" i="77"/>
  <c r="E15" i="76"/>
  <c r="E15" i="78"/>
  <c r="E6" i="84"/>
  <c r="E7" i="84"/>
  <c r="F4" i="84"/>
  <c r="E7" i="86"/>
  <c r="F4" i="86"/>
  <c r="C16" i="64"/>
  <c r="D13" i="65"/>
  <c r="E12" i="75"/>
  <c r="C19" i="75"/>
  <c r="C18" i="75"/>
  <c r="F12" i="76"/>
  <c r="C17" i="81"/>
  <c r="C18" i="81" s="1"/>
  <c r="C11" i="81"/>
  <c r="D10" i="82"/>
  <c r="D17" i="82"/>
  <c r="E4" i="64"/>
  <c r="D12" i="64"/>
  <c r="D11" i="68"/>
  <c r="C20" i="70"/>
  <c r="E8" i="71"/>
  <c r="C15" i="71"/>
  <c r="D16" i="75"/>
  <c r="C20" i="77"/>
  <c r="C15" i="79"/>
  <c r="D12" i="79"/>
  <c r="D6" i="80"/>
  <c r="D7" i="80"/>
  <c r="E8" i="80"/>
  <c r="D10" i="80"/>
  <c r="E6" i="86"/>
  <c r="D16" i="81"/>
  <c r="D7" i="64"/>
  <c r="D11" i="67"/>
  <c r="C11" i="67"/>
  <c r="C17" i="67"/>
  <c r="C19" i="67" s="1"/>
  <c r="D10" i="78"/>
  <c r="D16" i="78" s="1"/>
  <c r="F12" i="78"/>
  <c r="D15" i="81"/>
  <c r="D14" i="81"/>
  <c r="E12" i="81"/>
  <c r="E10" i="84"/>
  <c r="E11" i="84"/>
  <c r="F8" i="84"/>
  <c r="E11" i="86"/>
  <c r="E10" i="86"/>
  <c r="E8" i="67"/>
  <c r="C15" i="68"/>
  <c r="D15" i="70"/>
  <c r="C11" i="71"/>
  <c r="F8" i="74"/>
  <c r="E10" i="74"/>
  <c r="D11" i="74"/>
  <c r="C20" i="75"/>
  <c r="E11" i="76"/>
  <c r="E8" i="78"/>
  <c r="E8" i="79"/>
  <c r="D10" i="79"/>
  <c r="C18" i="80"/>
  <c r="C20" i="80" s="1"/>
  <c r="D16" i="80"/>
  <c r="C19" i="80"/>
  <c r="F8" i="86"/>
  <c r="E4" i="74"/>
  <c r="D6" i="74"/>
  <c r="D12" i="74" s="1"/>
  <c r="F8" i="75"/>
  <c r="E10" i="75"/>
  <c r="G8" i="76"/>
  <c r="F11" i="76"/>
  <c r="F10" i="76"/>
  <c r="D15" i="76"/>
  <c r="E14" i="76"/>
  <c r="D10" i="77"/>
  <c r="D15" i="77"/>
  <c r="E12" i="77"/>
  <c r="D14" i="77"/>
  <c r="C11" i="78"/>
  <c r="D15" i="78"/>
  <c r="C11" i="79"/>
  <c r="C10" i="79"/>
  <c r="C16" i="79" s="1"/>
  <c r="C10" i="81"/>
  <c r="F11" i="87"/>
  <c r="G8" i="87"/>
  <c r="F10" i="87"/>
  <c r="C15" i="80"/>
  <c r="D12" i="80"/>
  <c r="D10" i="73"/>
  <c r="D12" i="73" s="1"/>
  <c r="E4" i="79"/>
  <c r="E7" i="83"/>
  <c r="F4" i="83"/>
  <c r="D10" i="83"/>
  <c r="D11" i="83"/>
  <c r="E8" i="83"/>
  <c r="C22" i="84"/>
  <c r="E7" i="92"/>
  <c r="F4" i="92"/>
  <c r="E6" i="92"/>
  <c r="E8" i="77"/>
  <c r="D11" i="77"/>
  <c r="D7" i="79"/>
  <c r="D11" i="81"/>
  <c r="E8" i="81"/>
  <c r="C10" i="83"/>
  <c r="C11" i="83"/>
  <c r="C17" i="83"/>
  <c r="C19" i="83" s="1"/>
  <c r="D20" i="84"/>
  <c r="D16" i="91"/>
  <c r="C13" i="76"/>
  <c r="C14" i="76" s="1"/>
  <c r="C16" i="76" s="1"/>
  <c r="D7" i="77"/>
  <c r="D10" i="81"/>
  <c r="C18" i="83"/>
  <c r="C14" i="84"/>
  <c r="C17" i="88"/>
  <c r="C15" i="88"/>
  <c r="D16" i="94"/>
  <c r="C19" i="94"/>
  <c r="C18" i="94"/>
  <c r="C20" i="94" s="1"/>
  <c r="C14" i="87"/>
  <c r="C15" i="87"/>
  <c r="C16" i="87"/>
  <c r="D12" i="87"/>
  <c r="D7" i="86"/>
  <c r="D6" i="86"/>
  <c r="E10" i="87"/>
  <c r="E11" i="87"/>
  <c r="C13" i="89"/>
  <c r="C17" i="89" s="1"/>
  <c r="C11" i="89"/>
  <c r="F7" i="98"/>
  <c r="G4" i="98"/>
  <c r="F6" i="98"/>
  <c r="E6" i="99"/>
  <c r="E7" i="99"/>
  <c r="F4" i="99"/>
  <c r="E11" i="90"/>
  <c r="E10" i="90"/>
  <c r="F8" i="90"/>
  <c r="D6" i="90"/>
  <c r="E4" i="90"/>
  <c r="C10" i="91"/>
  <c r="C17" i="91"/>
  <c r="C18" i="91" s="1"/>
  <c r="C11" i="91"/>
  <c r="C14" i="93"/>
  <c r="C15" i="93"/>
  <c r="C16" i="93"/>
  <c r="D7" i="94"/>
  <c r="D6" i="94"/>
  <c r="C12" i="95"/>
  <c r="C11" i="95"/>
  <c r="C13" i="95" s="1"/>
  <c r="C10" i="89"/>
  <c r="C19" i="90"/>
  <c r="D16" i="90"/>
  <c r="C18" i="90"/>
  <c r="D6" i="93"/>
  <c r="D7" i="93"/>
  <c r="D12" i="93"/>
  <c r="E4" i="94"/>
  <c r="D11" i="96"/>
  <c r="D10" i="96"/>
  <c r="E8" i="96"/>
  <c r="C11" i="97"/>
  <c r="C17" i="97"/>
  <c r="C10" i="97"/>
  <c r="D11" i="82"/>
  <c r="C14" i="83"/>
  <c r="C15" i="83"/>
  <c r="D6" i="84"/>
  <c r="D7" i="84"/>
  <c r="C15" i="84"/>
  <c r="C18" i="84"/>
  <c r="D16" i="84"/>
  <c r="C19" i="84"/>
  <c r="D16" i="86"/>
  <c r="D10" i="87"/>
  <c r="D11" i="87"/>
  <c r="D15" i="90"/>
  <c r="E12" i="90"/>
  <c r="D14" i="90"/>
  <c r="D11" i="92"/>
  <c r="D10" i="92"/>
  <c r="E8" i="92"/>
  <c r="E4" i="93"/>
  <c r="E16" i="96"/>
  <c r="D19" i="96"/>
  <c r="D18" i="96"/>
  <c r="E7" i="98"/>
  <c r="E6" i="98"/>
  <c r="E11" i="98"/>
  <c r="E10" i="98"/>
  <c r="F8" i="98"/>
  <c r="C16" i="82"/>
  <c r="D17" i="91"/>
  <c r="D11" i="91"/>
  <c r="E7" i="96"/>
  <c r="F4" i="96"/>
  <c r="D12" i="82"/>
  <c r="C10" i="86"/>
  <c r="C11" i="86"/>
  <c r="D12" i="86"/>
  <c r="D6" i="87"/>
  <c r="D7" i="87"/>
  <c r="C16" i="89"/>
  <c r="C15" i="89"/>
  <c r="G6" i="91"/>
  <c r="G7" i="91"/>
  <c r="E12" i="97"/>
  <c r="D14" i="97"/>
  <c r="D15" i="97"/>
  <c r="E8" i="82"/>
  <c r="D12" i="84"/>
  <c r="E4" i="87"/>
  <c r="D12" i="89"/>
  <c r="H4" i="91"/>
  <c r="D12" i="91"/>
  <c r="C15" i="91"/>
  <c r="C14" i="91"/>
  <c r="D19" i="92"/>
  <c r="D18" i="92"/>
  <c r="E16" i="92"/>
  <c r="C17" i="93"/>
  <c r="D10" i="94"/>
  <c r="E8" i="94"/>
  <c r="C13" i="86"/>
  <c r="C17" i="86" s="1"/>
  <c r="C18" i="86" s="1"/>
  <c r="C16" i="88"/>
  <c r="C14" i="88"/>
  <c r="D12" i="88"/>
  <c r="E4" i="89"/>
  <c r="D6" i="89"/>
  <c r="D7" i="89"/>
  <c r="D15" i="92"/>
  <c r="E12" i="92"/>
  <c r="E6" i="96"/>
  <c r="C15" i="90"/>
  <c r="C15" i="97"/>
  <c r="C14" i="97"/>
  <c r="C16" i="97"/>
  <c r="D12" i="98"/>
  <c r="C15" i="92"/>
  <c r="D11" i="93"/>
  <c r="E7" i="97"/>
  <c r="E10" i="99"/>
  <c r="E8" i="88"/>
  <c r="D11" i="89"/>
  <c r="C14" i="90"/>
  <c r="E11" i="91"/>
  <c r="F8" i="91"/>
  <c r="D10" i="93"/>
  <c r="E4" i="88"/>
  <c r="D10" i="89"/>
  <c r="E8" i="89"/>
  <c r="E8" i="93"/>
  <c r="C20" i="96"/>
  <c r="D11" i="97"/>
  <c r="F8" i="97"/>
  <c r="C12" i="99"/>
  <c r="C20" i="81" l="1"/>
  <c r="E12" i="33"/>
  <c r="C20" i="8"/>
  <c r="D16" i="83"/>
  <c r="C20" i="83"/>
  <c r="E7" i="81"/>
  <c r="E6" i="81"/>
  <c r="F4" i="81"/>
  <c r="F4" i="78"/>
  <c r="E7" i="78"/>
  <c r="E6" i="77"/>
  <c r="E7" i="77"/>
  <c r="F4" i="77"/>
  <c r="E6" i="70"/>
  <c r="E7" i="70"/>
  <c r="F4" i="70"/>
  <c r="E7" i="50"/>
  <c r="F4" i="50"/>
  <c r="D15" i="39"/>
  <c r="D14" i="39"/>
  <c r="D16" i="39" s="1"/>
  <c r="E12" i="39"/>
  <c r="E7" i="27"/>
  <c r="E6" i="27"/>
  <c r="F4" i="27"/>
  <c r="E7" i="25"/>
  <c r="E6" i="25"/>
  <c r="F4" i="25"/>
  <c r="D15" i="10"/>
  <c r="E12" i="10"/>
  <c r="H6" i="109"/>
  <c r="H7" i="109"/>
  <c r="G10" i="109"/>
  <c r="H8" i="109"/>
  <c r="G11" i="109"/>
  <c r="G14" i="109"/>
  <c r="G16" i="109" s="1"/>
  <c r="H12" i="109"/>
  <c r="G15" i="109"/>
  <c r="D18" i="107"/>
  <c r="D19" i="107"/>
  <c r="E16" i="107"/>
  <c r="E15" i="107"/>
  <c r="E14" i="107"/>
  <c r="F12" i="107"/>
  <c r="H4" i="107"/>
  <c r="G6" i="107"/>
  <c r="G7" i="107"/>
  <c r="D20" i="107"/>
  <c r="F11" i="107"/>
  <c r="F10" i="107"/>
  <c r="G8" i="107"/>
  <c r="G11" i="106"/>
  <c r="G10" i="106"/>
  <c r="F7" i="106"/>
  <c r="G4" i="106"/>
  <c r="F6" i="106"/>
  <c r="F12" i="106" s="1"/>
  <c r="F10" i="105"/>
  <c r="G8" i="105"/>
  <c r="F11" i="105"/>
  <c r="E12" i="105"/>
  <c r="F7" i="105"/>
  <c r="G4" i="105"/>
  <c r="F6" i="105"/>
  <c r="F12" i="105" s="1"/>
  <c r="F12" i="104"/>
  <c r="G9" i="104"/>
  <c r="F13" i="104"/>
  <c r="G4" i="104"/>
  <c r="F7" i="104"/>
  <c r="F14" i="104" s="1"/>
  <c r="F8" i="104"/>
  <c r="F7" i="103"/>
  <c r="G4" i="103"/>
  <c r="F6" i="103"/>
  <c r="F11" i="103"/>
  <c r="G8" i="103"/>
  <c r="F10" i="103"/>
  <c r="E14" i="103"/>
  <c r="E16" i="103" s="1"/>
  <c r="E15" i="103"/>
  <c r="F12" i="103"/>
  <c r="G12" i="101"/>
  <c r="F14" i="101"/>
  <c r="F15" i="101"/>
  <c r="G7" i="102"/>
  <c r="G6" i="102"/>
  <c r="F14" i="102"/>
  <c r="F15" i="102"/>
  <c r="G12" i="102"/>
  <c r="F6" i="102"/>
  <c r="F16" i="102" s="1"/>
  <c r="F7" i="102"/>
  <c r="C19" i="91"/>
  <c r="E16" i="68"/>
  <c r="C14" i="86"/>
  <c r="D15" i="75"/>
  <c r="D14" i="75"/>
  <c r="F4" i="82"/>
  <c r="E6" i="82"/>
  <c r="E7" i="82"/>
  <c r="E7" i="9"/>
  <c r="F4" i="9"/>
  <c r="C19" i="45"/>
  <c r="C18" i="45"/>
  <c r="C20" i="45" s="1"/>
  <c r="D16" i="45"/>
  <c r="D14" i="19"/>
  <c r="D15" i="19"/>
  <c r="E6" i="72"/>
  <c r="F4" i="72"/>
  <c r="E7" i="72"/>
  <c r="E11" i="99"/>
  <c r="F8" i="99"/>
  <c r="E6" i="53"/>
  <c r="E12" i="53" s="1"/>
  <c r="F4" i="53"/>
  <c r="D15" i="41"/>
  <c r="E12" i="41"/>
  <c r="F4" i="58"/>
  <c r="E6" i="58"/>
  <c r="E12" i="58" s="1"/>
  <c r="C15" i="3"/>
  <c r="D16" i="41"/>
  <c r="D16" i="19"/>
  <c r="E6" i="19"/>
  <c r="F4" i="19"/>
  <c r="D12" i="58"/>
  <c r="F10" i="55"/>
  <c r="G8" i="55"/>
  <c r="C14" i="69"/>
  <c r="C16" i="69" s="1"/>
  <c r="F4" i="8"/>
  <c r="C20" i="92"/>
  <c r="F4" i="97"/>
  <c r="E6" i="97"/>
  <c r="D15" i="96"/>
  <c r="D14" i="96"/>
  <c r="D20" i="96" s="1"/>
  <c r="E12" i="96"/>
  <c r="E12" i="94"/>
  <c r="D15" i="94"/>
  <c r="D14" i="94"/>
  <c r="E7" i="34"/>
  <c r="F4" i="34"/>
  <c r="E7" i="6"/>
  <c r="F4" i="6"/>
  <c r="D20" i="92"/>
  <c r="C19" i="86"/>
  <c r="G7" i="51"/>
  <c r="G6" i="51"/>
  <c r="C14" i="30"/>
  <c r="C16" i="30" s="1"/>
  <c r="C15" i="30"/>
  <c r="E15" i="17"/>
  <c r="F12" i="17"/>
  <c r="C20" i="91"/>
  <c r="C16" i="31"/>
  <c r="D16" i="43"/>
  <c r="C19" i="43"/>
  <c r="C18" i="43"/>
  <c r="C20" i="43" s="1"/>
  <c r="E14" i="16"/>
  <c r="F12" i="16"/>
  <c r="E15" i="16"/>
  <c r="D15" i="8"/>
  <c r="E12" i="8"/>
  <c r="E10" i="13"/>
  <c r="F8" i="13"/>
  <c r="C19" i="81"/>
  <c r="E12" i="72"/>
  <c r="D19" i="70"/>
  <c r="C18" i="46"/>
  <c r="E12" i="24"/>
  <c r="D20" i="10"/>
  <c r="C20" i="5"/>
  <c r="E6" i="75"/>
  <c r="E7" i="75"/>
  <c r="E11" i="51"/>
  <c r="E10" i="51"/>
  <c r="E12" i="51" s="1"/>
  <c r="F8" i="51"/>
  <c r="F11" i="24"/>
  <c r="F10" i="24"/>
  <c r="F12" i="24" s="1"/>
  <c r="G8" i="24"/>
  <c r="E12" i="5"/>
  <c r="D15" i="5"/>
  <c r="E7" i="31"/>
  <c r="E6" i="31"/>
  <c r="F4" i="31"/>
  <c r="E11" i="11"/>
  <c r="E10" i="11"/>
  <c r="F8" i="11"/>
  <c r="C14" i="71"/>
  <c r="C20" i="71" s="1"/>
  <c r="C18" i="67"/>
  <c r="C20" i="67" s="1"/>
  <c r="D16" i="17"/>
  <c r="C18" i="10"/>
  <c r="C20" i="10" s="1"/>
  <c r="D12" i="53"/>
  <c r="E7" i="11"/>
  <c r="F4" i="11"/>
  <c r="D15" i="45"/>
  <c r="D14" i="45"/>
  <c r="F11" i="101"/>
  <c r="G8" i="101"/>
  <c r="F10" i="101"/>
  <c r="F16" i="101" s="1"/>
  <c r="H4" i="101"/>
  <c r="G7" i="101"/>
  <c r="G6" i="101"/>
  <c r="F12" i="71"/>
  <c r="D14" i="71"/>
  <c r="C19" i="71"/>
  <c r="E14" i="71"/>
  <c r="D15" i="71"/>
  <c r="D19" i="71"/>
  <c r="E16" i="71"/>
  <c r="D18" i="71"/>
  <c r="G4" i="100"/>
  <c r="F6" i="100"/>
  <c r="F12" i="100" s="1"/>
  <c r="F7" i="100"/>
  <c r="H8" i="100"/>
  <c r="G11" i="100"/>
  <c r="G10" i="100"/>
  <c r="F12" i="97"/>
  <c r="E15" i="97"/>
  <c r="E14" i="97"/>
  <c r="F8" i="92"/>
  <c r="E10" i="92"/>
  <c r="E11" i="92"/>
  <c r="E15" i="83"/>
  <c r="F12" i="83"/>
  <c r="E14" i="83"/>
  <c r="F10" i="69"/>
  <c r="F11" i="69"/>
  <c r="G8" i="69"/>
  <c r="E11" i="43"/>
  <c r="F8" i="43"/>
  <c r="E10" i="43"/>
  <c r="F10" i="58"/>
  <c r="F11" i="58"/>
  <c r="G8" i="58"/>
  <c r="E10" i="46"/>
  <c r="F8" i="46"/>
  <c r="E11" i="46"/>
  <c r="F10" i="54"/>
  <c r="F12" i="54" s="1"/>
  <c r="F11" i="54"/>
  <c r="G8" i="54"/>
  <c r="E7" i="28"/>
  <c r="F4" i="28"/>
  <c r="E6" i="28"/>
  <c r="D16" i="15"/>
  <c r="C19" i="15"/>
  <c r="C18" i="15"/>
  <c r="E15" i="46"/>
  <c r="E14" i="46"/>
  <c r="F12" i="46"/>
  <c r="F6" i="32"/>
  <c r="F7" i="32"/>
  <c r="G4" i="32"/>
  <c r="G8" i="19"/>
  <c r="F11" i="19"/>
  <c r="F10" i="19"/>
  <c r="E6" i="39"/>
  <c r="E7" i="39"/>
  <c r="F4" i="39"/>
  <c r="F7" i="10"/>
  <c r="F6" i="10"/>
  <c r="G4" i="10"/>
  <c r="E10" i="2"/>
  <c r="E11" i="2"/>
  <c r="F8" i="2"/>
  <c r="D16" i="12"/>
  <c r="C19" i="12"/>
  <c r="C18" i="12"/>
  <c r="C18" i="2"/>
  <c r="D16" i="2"/>
  <c r="C19" i="2"/>
  <c r="C15" i="13"/>
  <c r="F6" i="8"/>
  <c r="G4" i="8"/>
  <c r="F7" i="8"/>
  <c r="G8" i="15"/>
  <c r="F10" i="15"/>
  <c r="F11" i="15"/>
  <c r="I14" i="15"/>
  <c r="I15" i="15"/>
  <c r="J12" i="15"/>
  <c r="F7" i="80"/>
  <c r="F6" i="80"/>
  <c r="G4" i="80"/>
  <c r="H6" i="91"/>
  <c r="H7" i="91"/>
  <c r="E10" i="96"/>
  <c r="E11" i="96"/>
  <c r="F8" i="96"/>
  <c r="E6" i="90"/>
  <c r="E7" i="90"/>
  <c r="F4" i="90"/>
  <c r="H4" i="98"/>
  <c r="G6" i="98"/>
  <c r="G7" i="98"/>
  <c r="E11" i="81"/>
  <c r="F8" i="81"/>
  <c r="E10" i="81"/>
  <c r="G4" i="92"/>
  <c r="F7" i="92"/>
  <c r="F6" i="92"/>
  <c r="G11" i="87"/>
  <c r="H8" i="87"/>
  <c r="G10" i="87"/>
  <c r="G10" i="76"/>
  <c r="H8" i="76"/>
  <c r="G11" i="76"/>
  <c r="E12" i="79"/>
  <c r="D15" i="79"/>
  <c r="D14" i="79"/>
  <c r="E10" i="71"/>
  <c r="F8" i="71"/>
  <c r="E11" i="71"/>
  <c r="G4" i="75"/>
  <c r="F7" i="75"/>
  <c r="F6" i="75"/>
  <c r="G4" i="71"/>
  <c r="F6" i="71"/>
  <c r="F7" i="71"/>
  <c r="D19" i="67"/>
  <c r="E16" i="67"/>
  <c r="D18" i="67"/>
  <c r="D20" i="67" s="1"/>
  <c r="E7" i="66"/>
  <c r="E6" i="66"/>
  <c r="E12" i="66" s="1"/>
  <c r="F4" i="66"/>
  <c r="F4" i="55"/>
  <c r="E7" i="55"/>
  <c r="E6" i="55"/>
  <c r="E12" i="55" s="1"/>
  <c r="F12" i="42"/>
  <c r="E15" i="42"/>
  <c r="E14" i="42"/>
  <c r="G10" i="56"/>
  <c r="G11" i="56"/>
  <c r="D12" i="49"/>
  <c r="F7" i="59"/>
  <c r="G4" i="59"/>
  <c r="F6" i="59"/>
  <c r="D16" i="38"/>
  <c r="C19" i="38"/>
  <c r="C18" i="38"/>
  <c r="D16" i="44"/>
  <c r="F10" i="30"/>
  <c r="G8" i="30"/>
  <c r="F11" i="30"/>
  <c r="E6" i="23"/>
  <c r="E12" i="23" s="1"/>
  <c r="F4" i="23"/>
  <c r="E7" i="23"/>
  <c r="D16" i="42"/>
  <c r="E14" i="35"/>
  <c r="E15" i="35"/>
  <c r="F12" i="35"/>
  <c r="F10" i="35"/>
  <c r="F11" i="35"/>
  <c r="G8" i="35"/>
  <c r="D14" i="29"/>
  <c r="D16" i="29" s="1"/>
  <c r="E12" i="29"/>
  <c r="D15" i="29"/>
  <c r="G10" i="12"/>
  <c r="G11" i="12"/>
  <c r="H8" i="12"/>
  <c r="D12" i="21"/>
  <c r="D16" i="11"/>
  <c r="C18" i="11"/>
  <c r="C20" i="11" s="1"/>
  <c r="C19" i="11"/>
  <c r="E12" i="9"/>
  <c r="D15" i="9"/>
  <c r="D14" i="9"/>
  <c r="D14" i="13"/>
  <c r="D15" i="13"/>
  <c r="E12" i="13"/>
  <c r="E15" i="2"/>
  <c r="E14" i="2"/>
  <c r="F12" i="2"/>
  <c r="G4" i="13"/>
  <c r="F7" i="13"/>
  <c r="F6" i="13"/>
  <c r="F4" i="2"/>
  <c r="E6" i="2"/>
  <c r="E7" i="2"/>
  <c r="G8" i="5"/>
  <c r="F10" i="5"/>
  <c r="F11" i="5"/>
  <c r="E12" i="80"/>
  <c r="D15" i="80"/>
  <c r="D14" i="80"/>
  <c r="E14" i="77"/>
  <c r="E15" i="77"/>
  <c r="F12" i="77"/>
  <c r="F8" i="67"/>
  <c r="E11" i="67"/>
  <c r="E10" i="67"/>
  <c r="F12" i="81"/>
  <c r="E15" i="81"/>
  <c r="E14" i="81"/>
  <c r="C18" i="64"/>
  <c r="C20" i="64" s="1"/>
  <c r="D16" i="64"/>
  <c r="C19" i="64"/>
  <c r="E16" i="76"/>
  <c r="G11" i="64"/>
  <c r="H8" i="64"/>
  <c r="G10" i="64"/>
  <c r="F11" i="57"/>
  <c r="F10" i="57"/>
  <c r="G8" i="57"/>
  <c r="E7" i="49"/>
  <c r="E6" i="49"/>
  <c r="F4" i="49"/>
  <c r="F8" i="49"/>
  <c r="E10" i="49"/>
  <c r="E11" i="49"/>
  <c r="C20" i="46"/>
  <c r="F8" i="37"/>
  <c r="E10" i="37"/>
  <c r="E11" i="37"/>
  <c r="G7" i="43"/>
  <c r="G6" i="43"/>
  <c r="H4" i="43"/>
  <c r="G8" i="29"/>
  <c r="F11" i="29"/>
  <c r="F10" i="29"/>
  <c r="E14" i="34"/>
  <c r="E16" i="34" s="1"/>
  <c r="F12" i="34"/>
  <c r="E15" i="34"/>
  <c r="E7" i="30"/>
  <c r="F4" i="30"/>
  <c r="E6" i="30"/>
  <c r="E16" i="30" s="1"/>
  <c r="E14" i="44"/>
  <c r="E15" i="44"/>
  <c r="F12" i="44"/>
  <c r="C14" i="32"/>
  <c r="C16" i="32" s="1"/>
  <c r="F6" i="16"/>
  <c r="G4" i="16"/>
  <c r="F7" i="16"/>
  <c r="C15" i="29"/>
  <c r="E10" i="27"/>
  <c r="E12" i="27" s="1"/>
  <c r="F8" i="27"/>
  <c r="E11" i="27"/>
  <c r="F10" i="18"/>
  <c r="F11" i="18"/>
  <c r="G8" i="18"/>
  <c r="G7" i="29"/>
  <c r="G6" i="29"/>
  <c r="E6" i="21"/>
  <c r="E12" i="21" s="1"/>
  <c r="F4" i="21"/>
  <c r="E7" i="21"/>
  <c r="F7" i="18"/>
  <c r="G4" i="18"/>
  <c r="F6" i="18"/>
  <c r="C18" i="13"/>
  <c r="D16" i="13"/>
  <c r="C19" i="13"/>
  <c r="C20" i="12"/>
  <c r="C18" i="1"/>
  <c r="C20" i="1" s="1"/>
  <c r="C19" i="1"/>
  <c r="D16" i="1"/>
  <c r="G11" i="14"/>
  <c r="G10" i="14"/>
  <c r="H8" i="14"/>
  <c r="F6" i="5"/>
  <c r="F7" i="5"/>
  <c r="G4" i="5"/>
  <c r="E16" i="9"/>
  <c r="D18" i="9"/>
  <c r="D19" i="9"/>
  <c r="E10" i="94"/>
  <c r="F8" i="94"/>
  <c r="E11" i="94"/>
  <c r="D19" i="86"/>
  <c r="E16" i="86"/>
  <c r="D18" i="86"/>
  <c r="E7" i="89"/>
  <c r="E6" i="89"/>
  <c r="F4" i="89"/>
  <c r="D14" i="89"/>
  <c r="E12" i="89"/>
  <c r="D15" i="89"/>
  <c r="D15" i="86"/>
  <c r="E12" i="86"/>
  <c r="D14" i="86"/>
  <c r="E12" i="98"/>
  <c r="F7" i="99"/>
  <c r="G4" i="99"/>
  <c r="F6" i="99"/>
  <c r="D14" i="87"/>
  <c r="D15" i="87"/>
  <c r="E12" i="87"/>
  <c r="F10" i="97"/>
  <c r="G8" i="97"/>
  <c r="F11" i="97"/>
  <c r="D14" i="88"/>
  <c r="D15" i="88"/>
  <c r="E12" i="88"/>
  <c r="F16" i="92"/>
  <c r="E19" i="92"/>
  <c r="E18" i="92"/>
  <c r="E7" i="87"/>
  <c r="F4" i="87"/>
  <c r="E6" i="87"/>
  <c r="C18" i="93"/>
  <c r="C20" i="93" s="1"/>
  <c r="D16" i="93"/>
  <c r="C19" i="93"/>
  <c r="C18" i="87"/>
  <c r="C19" i="87"/>
  <c r="D16" i="87"/>
  <c r="E6" i="60"/>
  <c r="E12" i="60" s="1"/>
  <c r="E7" i="60"/>
  <c r="F4" i="60"/>
  <c r="E6" i="56"/>
  <c r="E12" i="56" s="1"/>
  <c r="E7" i="56"/>
  <c r="F4" i="56"/>
  <c r="F8" i="41"/>
  <c r="E10" i="41"/>
  <c r="E11" i="41"/>
  <c r="E15" i="47"/>
  <c r="F12" i="47"/>
  <c r="E14" i="47"/>
  <c r="E16" i="28"/>
  <c r="D18" i="28"/>
  <c r="D19" i="28"/>
  <c r="C20" i="38"/>
  <c r="E12" i="32"/>
  <c r="D14" i="32"/>
  <c r="D16" i="32" s="1"/>
  <c r="D15" i="32"/>
  <c r="E6" i="36"/>
  <c r="F4" i="36"/>
  <c r="E7" i="36"/>
  <c r="G8" i="23"/>
  <c r="F11" i="23"/>
  <c r="F10" i="23"/>
  <c r="D19" i="8"/>
  <c r="D18" i="8"/>
  <c r="D20" i="8" s="1"/>
  <c r="E16" i="8"/>
  <c r="G7" i="1"/>
  <c r="H4" i="1"/>
  <c r="G6" i="1"/>
  <c r="D15" i="11"/>
  <c r="D14" i="11"/>
  <c r="E12" i="11"/>
  <c r="D16" i="4"/>
  <c r="C18" i="4"/>
  <c r="C20" i="4" s="1"/>
  <c r="C19" i="4"/>
  <c r="E16" i="6"/>
  <c r="D19" i="6"/>
  <c r="D18" i="6"/>
  <c r="E15" i="3"/>
  <c r="F12" i="3"/>
  <c r="E14" i="3"/>
  <c r="F12" i="12"/>
  <c r="E14" i="12"/>
  <c r="E15" i="12"/>
  <c r="D14" i="91"/>
  <c r="E12" i="91"/>
  <c r="D15" i="91"/>
  <c r="F6" i="96"/>
  <c r="F7" i="96"/>
  <c r="G4" i="96"/>
  <c r="F10" i="75"/>
  <c r="F11" i="75"/>
  <c r="G8" i="75"/>
  <c r="E16" i="80"/>
  <c r="D19" i="80"/>
  <c r="D18" i="80"/>
  <c r="G12" i="76"/>
  <c r="F14" i="76"/>
  <c r="F15" i="76"/>
  <c r="E6" i="69"/>
  <c r="F4" i="69"/>
  <c r="E7" i="69"/>
  <c r="E12" i="69"/>
  <c r="D15" i="69"/>
  <c r="D14" i="69"/>
  <c r="F7" i="76"/>
  <c r="G4" i="76"/>
  <c r="F6" i="76"/>
  <c r="F4" i="73"/>
  <c r="E7" i="73"/>
  <c r="E6" i="73"/>
  <c r="E12" i="73" s="1"/>
  <c r="F4" i="48"/>
  <c r="E7" i="48"/>
  <c r="E6" i="48"/>
  <c r="E15" i="36"/>
  <c r="F12" i="36"/>
  <c r="E14" i="36"/>
  <c r="D15" i="84"/>
  <c r="E12" i="84"/>
  <c r="D14" i="84"/>
  <c r="C14" i="89"/>
  <c r="C20" i="86"/>
  <c r="C15" i="86"/>
  <c r="F12" i="90"/>
  <c r="E15" i="90"/>
  <c r="E14" i="90"/>
  <c r="D18" i="90"/>
  <c r="D20" i="90" s="1"/>
  <c r="D19" i="90"/>
  <c r="E16" i="90"/>
  <c r="D18" i="91"/>
  <c r="E16" i="91"/>
  <c r="D19" i="91"/>
  <c r="F4" i="79"/>
  <c r="E6" i="79"/>
  <c r="E7" i="79"/>
  <c r="C15" i="76"/>
  <c r="D18" i="75"/>
  <c r="D20" i="75" s="1"/>
  <c r="E16" i="75"/>
  <c r="D19" i="75"/>
  <c r="D14" i="64"/>
  <c r="E12" i="64"/>
  <c r="D15" i="64"/>
  <c r="F7" i="86"/>
  <c r="G4" i="86"/>
  <c r="F6" i="86"/>
  <c r="D16" i="69"/>
  <c r="D12" i="59"/>
  <c r="G10" i="63"/>
  <c r="G11" i="63"/>
  <c r="F11" i="68"/>
  <c r="F10" i="68"/>
  <c r="G8" i="68"/>
  <c r="E7" i="63"/>
  <c r="F4" i="63"/>
  <c r="E6" i="63"/>
  <c r="E12" i="63" s="1"/>
  <c r="H4" i="68"/>
  <c r="G7" i="68"/>
  <c r="G6" i="68"/>
  <c r="E10" i="59"/>
  <c r="E12" i="59" s="1"/>
  <c r="F8" i="59"/>
  <c r="E11" i="59"/>
  <c r="C14" i="47"/>
  <c r="C16" i="47" s="1"/>
  <c r="E6" i="41"/>
  <c r="E7" i="41"/>
  <c r="F4" i="41"/>
  <c r="F8" i="45"/>
  <c r="E10" i="45"/>
  <c r="E11" i="45"/>
  <c r="F7" i="33"/>
  <c r="G4" i="33"/>
  <c r="F6" i="33"/>
  <c r="F11" i="33"/>
  <c r="F10" i="33"/>
  <c r="G8" i="33"/>
  <c r="C19" i="28"/>
  <c r="C20" i="15"/>
  <c r="F6" i="46"/>
  <c r="F7" i="46"/>
  <c r="G4" i="46"/>
  <c r="G14" i="40"/>
  <c r="G15" i="40"/>
  <c r="H12" i="40"/>
  <c r="F11" i="38"/>
  <c r="F10" i="38"/>
  <c r="G8" i="38"/>
  <c r="C16" i="29"/>
  <c r="E7" i="26"/>
  <c r="F4" i="26"/>
  <c r="E6" i="26"/>
  <c r="E8" i="26" s="1"/>
  <c r="G7" i="15"/>
  <c r="H4" i="15"/>
  <c r="G6" i="15"/>
  <c r="H8" i="10"/>
  <c r="G10" i="10"/>
  <c r="G11" i="10"/>
  <c r="F7" i="22"/>
  <c r="G4" i="22"/>
  <c r="F6" i="22"/>
  <c r="F12" i="22" s="1"/>
  <c r="D15" i="4"/>
  <c r="D14" i="4"/>
  <c r="E12" i="4"/>
  <c r="D18" i="14"/>
  <c r="D20" i="14" s="1"/>
  <c r="E16" i="14"/>
  <c r="D19" i="14"/>
  <c r="H4" i="14"/>
  <c r="G7" i="14"/>
  <c r="G6" i="14"/>
  <c r="E10" i="3"/>
  <c r="E11" i="3"/>
  <c r="F8" i="3"/>
  <c r="G10" i="8"/>
  <c r="G11" i="8"/>
  <c r="H8" i="8"/>
  <c r="F7" i="4"/>
  <c r="G4" i="4"/>
  <c r="F6" i="4"/>
  <c r="D14" i="93"/>
  <c r="E12" i="93"/>
  <c r="D15" i="93"/>
  <c r="E16" i="94"/>
  <c r="D19" i="94"/>
  <c r="D18" i="94"/>
  <c r="D20" i="94" s="1"/>
  <c r="G4" i="83"/>
  <c r="F7" i="83"/>
  <c r="F6" i="83"/>
  <c r="E16" i="81"/>
  <c r="D18" i="81"/>
  <c r="D20" i="81" s="1"/>
  <c r="D19" i="81"/>
  <c r="D20" i="80"/>
  <c r="D19" i="77"/>
  <c r="D18" i="77"/>
  <c r="D20" i="77" s="1"/>
  <c r="E16" i="77"/>
  <c r="E11" i="83"/>
  <c r="F8" i="83"/>
  <c r="E10" i="83"/>
  <c r="F12" i="67"/>
  <c r="E14" i="67"/>
  <c r="E15" i="67"/>
  <c r="E11" i="47"/>
  <c r="E10" i="47"/>
  <c r="F8" i="47"/>
  <c r="H4" i="47"/>
  <c r="G7" i="47"/>
  <c r="G6" i="47"/>
  <c r="G12" i="31"/>
  <c r="F15" i="31"/>
  <c r="F14" i="31"/>
  <c r="D20" i="28"/>
  <c r="D14" i="38"/>
  <c r="E12" i="38"/>
  <c r="D15" i="38"/>
  <c r="F10" i="28"/>
  <c r="G8" i="28"/>
  <c r="F11" i="28"/>
  <c r="F10" i="20"/>
  <c r="G8" i="20"/>
  <c r="F11" i="20"/>
  <c r="F11" i="44"/>
  <c r="G8" i="44"/>
  <c r="F10" i="44"/>
  <c r="D16" i="40"/>
  <c r="E15" i="43"/>
  <c r="F12" i="43"/>
  <c r="E14" i="43"/>
  <c r="E16" i="35"/>
  <c r="D19" i="35"/>
  <c r="D18" i="35"/>
  <c r="D20" i="35" s="1"/>
  <c r="F10" i="40"/>
  <c r="F11" i="40"/>
  <c r="G8" i="40"/>
  <c r="D18" i="5"/>
  <c r="D20" i="5" s="1"/>
  <c r="E16" i="5"/>
  <c r="D19" i="5"/>
  <c r="G10" i="4"/>
  <c r="G11" i="4"/>
  <c r="H8" i="4"/>
  <c r="G6" i="24"/>
  <c r="G7" i="24"/>
  <c r="C20" i="2"/>
  <c r="G14" i="1"/>
  <c r="G15" i="1"/>
  <c r="H12" i="1"/>
  <c r="C14" i="13"/>
  <c r="C19" i="89"/>
  <c r="C18" i="89"/>
  <c r="D16" i="89"/>
  <c r="C19" i="82"/>
  <c r="D16" i="82"/>
  <c r="C18" i="82"/>
  <c r="C20" i="82" s="1"/>
  <c r="F16" i="96"/>
  <c r="E19" i="96"/>
  <c r="E18" i="96"/>
  <c r="D18" i="84"/>
  <c r="E16" i="84"/>
  <c r="D19" i="84"/>
  <c r="E10" i="77"/>
  <c r="F8" i="77"/>
  <c r="E11" i="77"/>
  <c r="G8" i="86"/>
  <c r="F10" i="86"/>
  <c r="F11" i="86"/>
  <c r="E11" i="79"/>
  <c r="F8" i="79"/>
  <c r="E10" i="79"/>
  <c r="F11" i="74"/>
  <c r="F10" i="74"/>
  <c r="E10" i="80"/>
  <c r="E11" i="80"/>
  <c r="F8" i="80"/>
  <c r="F12" i="75"/>
  <c r="E14" i="75"/>
  <c r="E15" i="75"/>
  <c r="F7" i="84"/>
  <c r="F6" i="84"/>
  <c r="G4" i="84"/>
  <c r="E10" i="70"/>
  <c r="F8" i="70"/>
  <c r="E11" i="70"/>
  <c r="F15" i="68"/>
  <c r="G12" i="68"/>
  <c r="F14" i="68"/>
  <c r="D18" i="70"/>
  <c r="D20" i="70" s="1"/>
  <c r="F10" i="62"/>
  <c r="F12" i="62" s="1"/>
  <c r="G8" i="62"/>
  <c r="F11" i="62"/>
  <c r="G6" i="62"/>
  <c r="G7" i="62"/>
  <c r="F8" i="65"/>
  <c r="G4" i="65"/>
  <c r="F7" i="65"/>
  <c r="F14" i="65" s="1"/>
  <c r="F12" i="45"/>
  <c r="E15" i="45"/>
  <c r="E14" i="45"/>
  <c r="G11" i="60"/>
  <c r="G10" i="60"/>
  <c r="E7" i="44"/>
  <c r="F4" i="44"/>
  <c r="E6" i="44"/>
  <c r="E16" i="44" s="1"/>
  <c r="F10" i="39"/>
  <c r="F11" i="39"/>
  <c r="G8" i="39"/>
  <c r="D15" i="18"/>
  <c r="E12" i="18"/>
  <c r="D14" i="18"/>
  <c r="D16" i="18" s="1"/>
  <c r="F10" i="36"/>
  <c r="G8" i="36"/>
  <c r="F11" i="36"/>
  <c r="E10" i="31"/>
  <c r="E16" i="31" s="1"/>
  <c r="F8" i="31"/>
  <c r="E11" i="31"/>
  <c r="H11" i="34"/>
  <c r="H10" i="34"/>
  <c r="E6" i="20"/>
  <c r="F4" i="20"/>
  <c r="E7" i="20"/>
  <c r="D20" i="9"/>
  <c r="E7" i="40"/>
  <c r="E6" i="40"/>
  <c r="E16" i="40" s="1"/>
  <c r="F4" i="40"/>
  <c r="E6" i="35"/>
  <c r="E7" i="35"/>
  <c r="F4" i="35"/>
  <c r="C20" i="13"/>
  <c r="F8" i="6"/>
  <c r="E11" i="6"/>
  <c r="E10" i="6"/>
  <c r="F16" i="10"/>
  <c r="E19" i="10"/>
  <c r="E18" i="10"/>
  <c r="E16" i="17"/>
  <c r="G10" i="16"/>
  <c r="H8" i="16"/>
  <c r="G11" i="16"/>
  <c r="D20" i="86"/>
  <c r="G15" i="70"/>
  <c r="G14" i="70"/>
  <c r="F4" i="88"/>
  <c r="E7" i="88"/>
  <c r="E6" i="88"/>
  <c r="E10" i="88"/>
  <c r="E11" i="88"/>
  <c r="F8" i="88"/>
  <c r="G8" i="91"/>
  <c r="F11" i="91"/>
  <c r="F10" i="91"/>
  <c r="F12" i="92"/>
  <c r="E15" i="92"/>
  <c r="E14" i="92"/>
  <c r="E20" i="92" s="1"/>
  <c r="C19" i="88"/>
  <c r="D16" i="88"/>
  <c r="C18" i="88"/>
  <c r="C20" i="88" s="1"/>
  <c r="F8" i="82"/>
  <c r="E10" i="82"/>
  <c r="E11" i="82"/>
  <c r="D15" i="82"/>
  <c r="E12" i="82"/>
  <c r="D14" i="82"/>
  <c r="C20" i="87"/>
  <c r="E7" i="74"/>
  <c r="E6" i="74"/>
  <c r="E12" i="74" s="1"/>
  <c r="F4" i="74"/>
  <c r="D16" i="79"/>
  <c r="E7" i="64"/>
  <c r="F4" i="64"/>
  <c r="E6" i="64"/>
  <c r="F7" i="57"/>
  <c r="G4" i="57"/>
  <c r="F6" i="57"/>
  <c r="F12" i="57" s="1"/>
  <c r="E18" i="70"/>
  <c r="E19" i="70"/>
  <c r="F16" i="70"/>
  <c r="E12" i="48"/>
  <c r="D15" i="48"/>
  <c r="D14" i="48"/>
  <c r="D16" i="48" s="1"/>
  <c r="E6" i="52"/>
  <c r="E12" i="52" s="1"/>
  <c r="E7" i="52"/>
  <c r="F4" i="52"/>
  <c r="E11" i="93"/>
  <c r="E10" i="93"/>
  <c r="F8" i="93"/>
  <c r="E11" i="89"/>
  <c r="E10" i="89"/>
  <c r="F8" i="89"/>
  <c r="C20" i="90"/>
  <c r="C19" i="97"/>
  <c r="C18" i="97"/>
  <c r="C20" i="97" s="1"/>
  <c r="D16" i="97"/>
  <c r="G8" i="98"/>
  <c r="F10" i="98"/>
  <c r="F12" i="98" s="1"/>
  <c r="F11" i="98"/>
  <c r="E7" i="93"/>
  <c r="E6" i="93"/>
  <c r="F4" i="93"/>
  <c r="E6" i="94"/>
  <c r="E7" i="94"/>
  <c r="F4" i="94"/>
  <c r="F10" i="90"/>
  <c r="G8" i="90"/>
  <c r="F11" i="90"/>
  <c r="E12" i="99"/>
  <c r="D22" i="84"/>
  <c r="D23" i="84"/>
  <c r="E20" i="84"/>
  <c r="E11" i="78"/>
  <c r="F8" i="78"/>
  <c r="E10" i="78"/>
  <c r="E16" i="78" s="1"/>
  <c r="F10" i="84"/>
  <c r="F11" i="84"/>
  <c r="G8" i="84"/>
  <c r="F15" i="78"/>
  <c r="G12" i="78"/>
  <c r="F14" i="78"/>
  <c r="G12" i="65"/>
  <c r="H9" i="65"/>
  <c r="G13" i="65"/>
  <c r="G6" i="54"/>
  <c r="G7" i="54"/>
  <c r="G11" i="66"/>
  <c r="H8" i="66"/>
  <c r="G10" i="66"/>
  <c r="F10" i="72"/>
  <c r="F11" i="72"/>
  <c r="G4" i="67"/>
  <c r="F7" i="67"/>
  <c r="F6" i="67"/>
  <c r="F11" i="53"/>
  <c r="F10" i="53"/>
  <c r="G8" i="53"/>
  <c r="E16" i="46"/>
  <c r="D18" i="46"/>
  <c r="D20" i="46" s="1"/>
  <c r="D19" i="46"/>
  <c r="G11" i="48"/>
  <c r="G10" i="48"/>
  <c r="H8" i="48"/>
  <c r="F12" i="37"/>
  <c r="E15" i="37"/>
  <c r="E14" i="37"/>
  <c r="E10" i="25"/>
  <c r="E12" i="25" s="1"/>
  <c r="F8" i="25"/>
  <c r="E11" i="25"/>
  <c r="E7" i="42"/>
  <c r="E6" i="42"/>
  <c r="F4" i="42"/>
  <c r="D16" i="16"/>
  <c r="C18" i="16"/>
  <c r="C20" i="16" s="1"/>
  <c r="C19" i="16"/>
  <c r="G10" i="52"/>
  <c r="G11" i="52"/>
  <c r="E6" i="37"/>
  <c r="E16" i="37" s="1"/>
  <c r="E7" i="37"/>
  <c r="F4" i="37"/>
  <c r="F6" i="45"/>
  <c r="G4" i="45"/>
  <c r="F7" i="45"/>
  <c r="E15" i="19"/>
  <c r="E14" i="19"/>
  <c r="E16" i="19" s="1"/>
  <c r="F12" i="19"/>
  <c r="F6" i="38"/>
  <c r="F7" i="38"/>
  <c r="G4" i="38"/>
  <c r="F8" i="42"/>
  <c r="E11" i="42"/>
  <c r="E10" i="42"/>
  <c r="H8" i="17"/>
  <c r="G11" i="17"/>
  <c r="G10" i="17"/>
  <c r="F11" i="9"/>
  <c r="F10" i="9"/>
  <c r="G8" i="9"/>
  <c r="G8" i="21"/>
  <c r="F10" i="21"/>
  <c r="F11" i="21"/>
  <c r="G4" i="17"/>
  <c r="F6" i="17"/>
  <c r="F7" i="17"/>
  <c r="E7" i="12"/>
  <c r="E6" i="12"/>
  <c r="F4" i="12"/>
  <c r="C19" i="3"/>
  <c r="C18" i="3"/>
  <c r="C20" i="3" s="1"/>
  <c r="D16" i="3"/>
  <c r="F15" i="14"/>
  <c r="G12" i="14"/>
  <c r="F14" i="14"/>
  <c r="E7" i="3"/>
  <c r="F4" i="3"/>
  <c r="E6" i="3"/>
  <c r="G10" i="22"/>
  <c r="G11" i="22"/>
  <c r="E12" i="6"/>
  <c r="D15" i="6"/>
  <c r="D14" i="6"/>
  <c r="D20" i="6" s="1"/>
  <c r="E10" i="1"/>
  <c r="F8" i="1"/>
  <c r="E11" i="1"/>
  <c r="E16" i="42" l="1"/>
  <c r="E14" i="10"/>
  <c r="E20" i="10" s="1"/>
  <c r="E15" i="10"/>
  <c r="F12" i="10"/>
  <c r="F7" i="25"/>
  <c r="F6" i="25"/>
  <c r="G4" i="25"/>
  <c r="G4" i="27"/>
  <c r="F6" i="27"/>
  <c r="F7" i="27"/>
  <c r="E14" i="39"/>
  <c r="E16" i="39" s="1"/>
  <c r="E15" i="39"/>
  <c r="F12" i="39"/>
  <c r="F6" i="50"/>
  <c r="F8" i="50" s="1"/>
  <c r="F7" i="50"/>
  <c r="F6" i="70"/>
  <c r="F7" i="70"/>
  <c r="G4" i="70"/>
  <c r="F7" i="77"/>
  <c r="G4" i="77"/>
  <c r="F6" i="77"/>
  <c r="F6" i="78"/>
  <c r="G4" i="78"/>
  <c r="F7" i="78"/>
  <c r="F6" i="81"/>
  <c r="F7" i="81"/>
  <c r="G4" i="81"/>
  <c r="D20" i="83"/>
  <c r="C22" i="83"/>
  <c r="C23" i="83"/>
  <c r="D18" i="83"/>
  <c r="D19" i="83"/>
  <c r="E16" i="83"/>
  <c r="H14" i="109"/>
  <c r="H15" i="109"/>
  <c r="H10" i="109"/>
  <c r="H11" i="109"/>
  <c r="H16" i="109"/>
  <c r="H8" i="107"/>
  <c r="G10" i="107"/>
  <c r="G11" i="107"/>
  <c r="E19" i="107"/>
  <c r="F16" i="107"/>
  <c r="E18" i="107"/>
  <c r="H6" i="107"/>
  <c r="H7" i="107"/>
  <c r="F15" i="107"/>
  <c r="G12" i="107"/>
  <c r="F14" i="107"/>
  <c r="E20" i="107"/>
  <c r="G7" i="106"/>
  <c r="G6" i="106"/>
  <c r="G12" i="106" s="1"/>
  <c r="G7" i="105"/>
  <c r="G6" i="105"/>
  <c r="G10" i="105"/>
  <c r="G11" i="105"/>
  <c r="G13" i="104"/>
  <c r="G12" i="104"/>
  <c r="H9" i="104"/>
  <c r="H4" i="104"/>
  <c r="G7" i="104"/>
  <c r="G14" i="104" s="1"/>
  <c r="G8" i="104"/>
  <c r="G11" i="103"/>
  <c r="H8" i="103"/>
  <c r="G10" i="103"/>
  <c r="H4" i="103"/>
  <c r="G6" i="103"/>
  <c r="G7" i="103"/>
  <c r="F14" i="103"/>
  <c r="F16" i="103" s="1"/>
  <c r="F15" i="103"/>
  <c r="G12" i="103"/>
  <c r="H12" i="101"/>
  <c r="G15" i="101"/>
  <c r="G14" i="101"/>
  <c r="G15" i="102"/>
  <c r="G14" i="102"/>
  <c r="G16" i="102" s="1"/>
  <c r="F16" i="68"/>
  <c r="F6" i="31"/>
  <c r="G4" i="31"/>
  <c r="F7" i="31"/>
  <c r="G8" i="51"/>
  <c r="F11" i="51"/>
  <c r="F10" i="51"/>
  <c r="F12" i="51" s="1"/>
  <c r="F12" i="33"/>
  <c r="C20" i="89"/>
  <c r="F7" i="53"/>
  <c r="F6" i="53"/>
  <c r="F12" i="53" s="1"/>
  <c r="G4" i="53"/>
  <c r="F14" i="16"/>
  <c r="G12" i="16"/>
  <c r="F15" i="16"/>
  <c r="G12" i="17"/>
  <c r="F15" i="17"/>
  <c r="F14" i="17"/>
  <c r="F12" i="94"/>
  <c r="E15" i="94"/>
  <c r="E14" i="94"/>
  <c r="F6" i="82"/>
  <c r="F7" i="82"/>
  <c r="G4" i="82"/>
  <c r="F12" i="96"/>
  <c r="E15" i="96"/>
  <c r="E14" i="96"/>
  <c r="E20" i="96" s="1"/>
  <c r="F11" i="99"/>
  <c r="F10" i="99"/>
  <c r="F12" i="99" s="1"/>
  <c r="G8" i="99"/>
  <c r="E16" i="45"/>
  <c r="D18" i="45"/>
  <c r="D20" i="45" s="1"/>
  <c r="D19" i="45"/>
  <c r="D20" i="71"/>
  <c r="F12" i="5"/>
  <c r="E14" i="5"/>
  <c r="E15" i="5"/>
  <c r="F6" i="6"/>
  <c r="G4" i="6"/>
  <c r="F7" i="6"/>
  <c r="G11" i="55"/>
  <c r="G10" i="55"/>
  <c r="F10" i="11"/>
  <c r="G8" i="11"/>
  <c r="F11" i="11"/>
  <c r="G11" i="24"/>
  <c r="G10" i="24"/>
  <c r="G12" i="24" s="1"/>
  <c r="G8" i="13"/>
  <c r="F11" i="13"/>
  <c r="F10" i="13"/>
  <c r="F6" i="11"/>
  <c r="F7" i="11"/>
  <c r="G4" i="11"/>
  <c r="D19" i="43"/>
  <c r="D18" i="43"/>
  <c r="D20" i="43" s="1"/>
  <c r="E16" i="43"/>
  <c r="F6" i="34"/>
  <c r="G4" i="34"/>
  <c r="F7" i="34"/>
  <c r="F7" i="58"/>
  <c r="F6" i="58"/>
  <c r="F12" i="58" s="1"/>
  <c r="G4" i="58"/>
  <c r="F6" i="72"/>
  <c r="F7" i="72"/>
  <c r="F7" i="9"/>
  <c r="G4" i="9"/>
  <c r="F6" i="9"/>
  <c r="F12" i="72"/>
  <c r="F16" i="17"/>
  <c r="E14" i="8"/>
  <c r="F12" i="8"/>
  <c r="E15" i="8"/>
  <c r="F6" i="97"/>
  <c r="G4" i="97"/>
  <c r="F7" i="97"/>
  <c r="F7" i="19"/>
  <c r="F6" i="19"/>
  <c r="G4" i="19"/>
  <c r="F12" i="41"/>
  <c r="E15" i="41"/>
  <c r="E14" i="41"/>
  <c r="E16" i="41" s="1"/>
  <c r="G11" i="101"/>
  <c r="H8" i="101"/>
  <c r="G10" i="101"/>
  <c r="G16" i="101" s="1"/>
  <c r="I4" i="101"/>
  <c r="H6" i="101"/>
  <c r="H7" i="101"/>
  <c r="E19" i="71"/>
  <c r="E18" i="71"/>
  <c r="E20" i="71" s="1"/>
  <c r="F16" i="71"/>
  <c r="F14" i="71"/>
  <c r="F15" i="71"/>
  <c r="G12" i="71"/>
  <c r="G7" i="100"/>
  <c r="H4" i="100"/>
  <c r="G6" i="100"/>
  <c r="G12" i="100" s="1"/>
  <c r="I8" i="100"/>
  <c r="H11" i="100"/>
  <c r="H10" i="100"/>
  <c r="G8" i="1"/>
  <c r="F11" i="1"/>
  <c r="F10" i="1"/>
  <c r="E22" i="84"/>
  <c r="E23" i="84"/>
  <c r="F20" i="84"/>
  <c r="G11" i="53"/>
  <c r="G10" i="53"/>
  <c r="H13" i="65"/>
  <c r="H12" i="65"/>
  <c r="F7" i="74"/>
  <c r="F6" i="74"/>
  <c r="F12" i="74" s="1"/>
  <c r="F12" i="82"/>
  <c r="E15" i="82"/>
  <c r="E14" i="82"/>
  <c r="G10" i="36"/>
  <c r="H8" i="36"/>
  <c r="G11" i="36"/>
  <c r="G12" i="45"/>
  <c r="F15" i="45"/>
  <c r="F14" i="45"/>
  <c r="G7" i="84"/>
  <c r="H4" i="84"/>
  <c r="G6" i="84"/>
  <c r="F11" i="79"/>
  <c r="G8" i="79"/>
  <c r="F10" i="79"/>
  <c r="H7" i="47"/>
  <c r="H6" i="47"/>
  <c r="H11" i="8"/>
  <c r="H10" i="8"/>
  <c r="I8" i="8"/>
  <c r="I4" i="14"/>
  <c r="H7" i="14"/>
  <c r="H6" i="14"/>
  <c r="F15" i="36"/>
  <c r="F14" i="36"/>
  <c r="G12" i="36"/>
  <c r="F7" i="73"/>
  <c r="F6" i="73"/>
  <c r="F12" i="73" s="1"/>
  <c r="F6" i="69"/>
  <c r="F7" i="69"/>
  <c r="G4" i="69"/>
  <c r="G7" i="96"/>
  <c r="H4" i="96"/>
  <c r="G6" i="96"/>
  <c r="G4" i="89"/>
  <c r="F7" i="89"/>
  <c r="F6" i="89"/>
  <c r="G6" i="16"/>
  <c r="H4" i="16"/>
  <c r="G7" i="16"/>
  <c r="G10" i="29"/>
  <c r="G11" i="29"/>
  <c r="H11" i="17"/>
  <c r="H10" i="17"/>
  <c r="H10" i="66"/>
  <c r="H11" i="66"/>
  <c r="F6" i="93"/>
  <c r="G4" i="93"/>
  <c r="F7" i="93"/>
  <c r="F7" i="52"/>
  <c r="G4" i="52"/>
  <c r="F6" i="52"/>
  <c r="F12" i="52" s="1"/>
  <c r="G16" i="10"/>
  <c r="F19" i="10"/>
  <c r="F18" i="10"/>
  <c r="F7" i="44"/>
  <c r="G4" i="44"/>
  <c r="F6" i="44"/>
  <c r="F11" i="77"/>
  <c r="F10" i="77"/>
  <c r="G8" i="77"/>
  <c r="F19" i="96"/>
  <c r="G16" i="96"/>
  <c r="F18" i="96"/>
  <c r="H15" i="1"/>
  <c r="H14" i="1"/>
  <c r="I12" i="1"/>
  <c r="F16" i="5"/>
  <c r="E18" i="5"/>
  <c r="E20" i="5" s="1"/>
  <c r="E19" i="5"/>
  <c r="G11" i="40"/>
  <c r="H8" i="40"/>
  <c r="G10" i="40"/>
  <c r="G8" i="47"/>
  <c r="F10" i="47"/>
  <c r="F11" i="47"/>
  <c r="E18" i="81"/>
  <c r="E19" i="81"/>
  <c r="F16" i="81"/>
  <c r="E15" i="4"/>
  <c r="F12" i="4"/>
  <c r="E14" i="4"/>
  <c r="G7" i="22"/>
  <c r="G6" i="22"/>
  <c r="G12" i="22" s="1"/>
  <c r="H14" i="40"/>
  <c r="H15" i="40"/>
  <c r="G7" i="33"/>
  <c r="G6" i="33"/>
  <c r="E18" i="91"/>
  <c r="F16" i="91"/>
  <c r="E19" i="91"/>
  <c r="F16" i="76"/>
  <c r="H7" i="1"/>
  <c r="H6" i="1"/>
  <c r="I4" i="1"/>
  <c r="E14" i="32"/>
  <c r="E16" i="32" s="1"/>
  <c r="E15" i="32"/>
  <c r="F12" i="32"/>
  <c r="G12" i="47"/>
  <c r="F14" i="47"/>
  <c r="F15" i="47"/>
  <c r="F6" i="21"/>
  <c r="F12" i="21" s="1"/>
  <c r="F7" i="21"/>
  <c r="G4" i="21"/>
  <c r="F7" i="30"/>
  <c r="G4" i="30"/>
  <c r="F6" i="30"/>
  <c r="F16" i="30" s="1"/>
  <c r="H6" i="43"/>
  <c r="H7" i="43"/>
  <c r="G7" i="13"/>
  <c r="G6" i="13"/>
  <c r="H4" i="13"/>
  <c r="G10" i="30"/>
  <c r="G11" i="30"/>
  <c r="H4" i="92"/>
  <c r="G6" i="92"/>
  <c r="G7" i="92"/>
  <c r="F15" i="46"/>
  <c r="F14" i="46"/>
  <c r="G12" i="46"/>
  <c r="F10" i="43"/>
  <c r="G8" i="43"/>
  <c r="F11" i="43"/>
  <c r="G4" i="3"/>
  <c r="F7" i="3"/>
  <c r="F6" i="3"/>
  <c r="D19" i="3"/>
  <c r="D18" i="3"/>
  <c r="D20" i="3" s="1"/>
  <c r="E16" i="3"/>
  <c r="H4" i="17"/>
  <c r="G6" i="17"/>
  <c r="G7" i="17"/>
  <c r="H10" i="48"/>
  <c r="H11" i="48"/>
  <c r="F16" i="46"/>
  <c r="E19" i="46"/>
  <c r="E18" i="46"/>
  <c r="E20" i="46" s="1"/>
  <c r="F15" i="92"/>
  <c r="F14" i="92"/>
  <c r="G12" i="92"/>
  <c r="F7" i="40"/>
  <c r="G4" i="40"/>
  <c r="F6" i="40"/>
  <c r="F16" i="40" s="1"/>
  <c r="G8" i="65"/>
  <c r="G7" i="65"/>
  <c r="G14" i="65" s="1"/>
  <c r="H4" i="65"/>
  <c r="G10" i="20"/>
  <c r="G11" i="20"/>
  <c r="E16" i="47"/>
  <c r="E18" i="77"/>
  <c r="E20" i="77" s="1"/>
  <c r="F16" i="77"/>
  <c r="E19" i="77"/>
  <c r="H7" i="68"/>
  <c r="H6" i="68"/>
  <c r="F16" i="75"/>
  <c r="E19" i="75"/>
  <c r="E18" i="75"/>
  <c r="E20" i="75" s="1"/>
  <c r="H4" i="76"/>
  <c r="G6" i="76"/>
  <c r="G7" i="76"/>
  <c r="E18" i="80"/>
  <c r="F16" i="80"/>
  <c r="E19" i="80"/>
  <c r="G12" i="3"/>
  <c r="F15" i="3"/>
  <c r="F14" i="3"/>
  <c r="F7" i="60"/>
  <c r="F6" i="60"/>
  <c r="F12" i="60" s="1"/>
  <c r="G4" i="60"/>
  <c r="D19" i="1"/>
  <c r="E16" i="1"/>
  <c r="D18" i="1"/>
  <c r="D20" i="1" s="1"/>
  <c r="D18" i="13"/>
  <c r="E16" i="13"/>
  <c r="D19" i="13"/>
  <c r="F10" i="49"/>
  <c r="F11" i="49"/>
  <c r="H10" i="64"/>
  <c r="H11" i="64"/>
  <c r="F11" i="67"/>
  <c r="G8" i="67"/>
  <c r="F10" i="67"/>
  <c r="F15" i="2"/>
  <c r="F14" i="2"/>
  <c r="G12" i="2"/>
  <c r="F12" i="9"/>
  <c r="E15" i="9"/>
  <c r="E14" i="9"/>
  <c r="F7" i="55"/>
  <c r="G4" i="55"/>
  <c r="F6" i="55"/>
  <c r="F12" i="55" s="1"/>
  <c r="H11" i="76"/>
  <c r="H10" i="76"/>
  <c r="E20" i="81"/>
  <c r="D19" i="2"/>
  <c r="D18" i="2"/>
  <c r="D20" i="2" s="1"/>
  <c r="E16" i="2"/>
  <c r="G6" i="10"/>
  <c r="G7" i="10"/>
  <c r="H4" i="10"/>
  <c r="G6" i="57"/>
  <c r="G7" i="57"/>
  <c r="G10" i="21"/>
  <c r="G11" i="21"/>
  <c r="F11" i="89"/>
  <c r="G8" i="89"/>
  <c r="F10" i="89"/>
  <c r="H10" i="16"/>
  <c r="H11" i="16"/>
  <c r="E14" i="18"/>
  <c r="E16" i="18" s="1"/>
  <c r="E15" i="18"/>
  <c r="F12" i="18"/>
  <c r="H12" i="68"/>
  <c r="G15" i="68"/>
  <c r="G14" i="68"/>
  <c r="D19" i="82"/>
  <c r="E16" i="82"/>
  <c r="D18" i="82"/>
  <c r="F12" i="93"/>
  <c r="E14" i="93"/>
  <c r="E15" i="93"/>
  <c r="F11" i="3"/>
  <c r="F10" i="3"/>
  <c r="G8" i="3"/>
  <c r="F7" i="26"/>
  <c r="G4" i="26"/>
  <c r="F6" i="26"/>
  <c r="F8" i="26" s="1"/>
  <c r="F10" i="59"/>
  <c r="G8" i="59"/>
  <c r="F11" i="59"/>
  <c r="G11" i="75"/>
  <c r="G10" i="75"/>
  <c r="H8" i="75"/>
  <c r="E18" i="8"/>
  <c r="E20" i="8" s="1"/>
  <c r="F16" i="8"/>
  <c r="E19" i="8"/>
  <c r="D18" i="93"/>
  <c r="D20" i="93" s="1"/>
  <c r="E16" i="93"/>
  <c r="D19" i="93"/>
  <c r="F18" i="92"/>
  <c r="G16" i="92"/>
  <c r="F19" i="92"/>
  <c r="G10" i="97"/>
  <c r="H8" i="97"/>
  <c r="G11" i="97"/>
  <c r="E15" i="86"/>
  <c r="F12" i="86"/>
  <c r="E14" i="86"/>
  <c r="F16" i="9"/>
  <c r="E19" i="9"/>
  <c r="E18" i="9"/>
  <c r="F6" i="49"/>
  <c r="F7" i="49"/>
  <c r="F15" i="77"/>
  <c r="G12" i="77"/>
  <c r="F14" i="77"/>
  <c r="G10" i="5"/>
  <c r="G11" i="5"/>
  <c r="H8" i="5"/>
  <c r="H10" i="12"/>
  <c r="H11" i="12"/>
  <c r="I8" i="12"/>
  <c r="G11" i="35"/>
  <c r="H8" i="35"/>
  <c r="G10" i="35"/>
  <c r="F7" i="66"/>
  <c r="G4" i="66"/>
  <c r="F6" i="66"/>
  <c r="F12" i="66" s="1"/>
  <c r="G7" i="71"/>
  <c r="G6" i="71"/>
  <c r="H4" i="71"/>
  <c r="F11" i="81"/>
  <c r="F10" i="81"/>
  <c r="G8" i="81"/>
  <c r="J15" i="15"/>
  <c r="J14" i="15"/>
  <c r="G11" i="54"/>
  <c r="G10" i="54"/>
  <c r="F11" i="46"/>
  <c r="G8" i="46"/>
  <c r="F10" i="46"/>
  <c r="G10" i="69"/>
  <c r="G11" i="69"/>
  <c r="H8" i="69"/>
  <c r="F10" i="92"/>
  <c r="F11" i="92"/>
  <c r="G8" i="92"/>
  <c r="H8" i="9"/>
  <c r="G11" i="9"/>
  <c r="G10" i="9"/>
  <c r="F11" i="42"/>
  <c r="F10" i="42"/>
  <c r="G8" i="42"/>
  <c r="G7" i="45"/>
  <c r="H4" i="45"/>
  <c r="G6" i="45"/>
  <c r="F11" i="78"/>
  <c r="G8" i="78"/>
  <c r="F10" i="78"/>
  <c r="F16" i="78" s="1"/>
  <c r="G10" i="90"/>
  <c r="H8" i="90"/>
  <c r="G11" i="90"/>
  <c r="F11" i="82"/>
  <c r="G8" i="82"/>
  <c r="F10" i="82"/>
  <c r="F7" i="88"/>
  <c r="F6" i="88"/>
  <c r="G4" i="88"/>
  <c r="F11" i="6"/>
  <c r="F10" i="6"/>
  <c r="G8" i="6"/>
  <c r="G10" i="86"/>
  <c r="H8" i="86"/>
  <c r="G11" i="86"/>
  <c r="H4" i="83"/>
  <c r="G6" i="83"/>
  <c r="G7" i="83"/>
  <c r="G6" i="46"/>
  <c r="H4" i="46"/>
  <c r="G7" i="46"/>
  <c r="F7" i="63"/>
  <c r="G4" i="63"/>
  <c r="F6" i="63"/>
  <c r="F12" i="63" s="1"/>
  <c r="H4" i="86"/>
  <c r="G7" i="86"/>
  <c r="G6" i="86"/>
  <c r="E19" i="90"/>
  <c r="E18" i="90"/>
  <c r="E20" i="90" s="1"/>
  <c r="F16" i="90"/>
  <c r="E15" i="84"/>
  <c r="E14" i="84"/>
  <c r="F12" i="84"/>
  <c r="F7" i="48"/>
  <c r="G4" i="48"/>
  <c r="F6" i="48"/>
  <c r="F12" i="91"/>
  <c r="E14" i="91"/>
  <c r="E20" i="91" s="1"/>
  <c r="E15" i="91"/>
  <c r="E16" i="4"/>
  <c r="D19" i="4"/>
  <c r="D18" i="4"/>
  <c r="D20" i="4" s="1"/>
  <c r="E14" i="88"/>
  <c r="F12" i="88"/>
  <c r="E15" i="88"/>
  <c r="G7" i="99"/>
  <c r="G6" i="99"/>
  <c r="E19" i="86"/>
  <c r="F16" i="86"/>
  <c r="E18" i="86"/>
  <c r="G6" i="5"/>
  <c r="G7" i="5"/>
  <c r="H4" i="5"/>
  <c r="G8" i="27"/>
  <c r="F11" i="27"/>
  <c r="F10" i="27"/>
  <c r="F12" i="27" s="1"/>
  <c r="F15" i="34"/>
  <c r="F14" i="34"/>
  <c r="F16" i="34" s="1"/>
  <c r="G12" i="34"/>
  <c r="E12" i="49"/>
  <c r="E14" i="79"/>
  <c r="E15" i="79"/>
  <c r="F12" i="79"/>
  <c r="F10" i="96"/>
  <c r="G8" i="96"/>
  <c r="F11" i="96"/>
  <c r="E16" i="97"/>
  <c r="D19" i="97"/>
  <c r="D18" i="97"/>
  <c r="D20" i="97" s="1"/>
  <c r="D20" i="82"/>
  <c r="F12" i="6"/>
  <c r="E15" i="6"/>
  <c r="E14" i="6"/>
  <c r="F7" i="12"/>
  <c r="G4" i="12"/>
  <c r="F6" i="12"/>
  <c r="F10" i="25"/>
  <c r="F12" i="25" s="1"/>
  <c r="G8" i="25"/>
  <c r="F11" i="25"/>
  <c r="G15" i="14"/>
  <c r="H12" i="14"/>
  <c r="G14" i="14"/>
  <c r="G7" i="38"/>
  <c r="G6" i="38"/>
  <c r="H4" i="38"/>
  <c r="D18" i="16"/>
  <c r="D20" i="16" s="1"/>
  <c r="E16" i="16"/>
  <c r="D19" i="16"/>
  <c r="G6" i="67"/>
  <c r="H4" i="67"/>
  <c r="G7" i="67"/>
  <c r="G16" i="70"/>
  <c r="F19" i="70"/>
  <c r="F18" i="70"/>
  <c r="F7" i="64"/>
  <c r="F6" i="64"/>
  <c r="G4" i="64"/>
  <c r="G11" i="91"/>
  <c r="G10" i="91"/>
  <c r="H8" i="91"/>
  <c r="F10" i="31"/>
  <c r="F16" i="31" s="1"/>
  <c r="G8" i="31"/>
  <c r="F11" i="31"/>
  <c r="G10" i="39"/>
  <c r="G11" i="39"/>
  <c r="H8" i="39"/>
  <c r="F14" i="75"/>
  <c r="G12" i="75"/>
  <c r="F15" i="75"/>
  <c r="F16" i="84"/>
  <c r="E19" i="84"/>
  <c r="E18" i="84"/>
  <c r="D18" i="89"/>
  <c r="D20" i="89" s="1"/>
  <c r="E16" i="89"/>
  <c r="D19" i="89"/>
  <c r="H11" i="4"/>
  <c r="I8" i="4"/>
  <c r="H10" i="4"/>
  <c r="G10" i="28"/>
  <c r="G11" i="28"/>
  <c r="G14" i="31"/>
  <c r="G15" i="31"/>
  <c r="H10" i="10"/>
  <c r="H11" i="10"/>
  <c r="I8" i="10"/>
  <c r="G10" i="33"/>
  <c r="G11" i="33"/>
  <c r="F10" i="45"/>
  <c r="G8" i="45"/>
  <c r="F11" i="45"/>
  <c r="D20" i="91"/>
  <c r="E14" i="11"/>
  <c r="E15" i="11"/>
  <c r="F12" i="11"/>
  <c r="F6" i="36"/>
  <c r="F16" i="36" s="1"/>
  <c r="F7" i="36"/>
  <c r="G4" i="36"/>
  <c r="E18" i="28"/>
  <c r="E19" i="28"/>
  <c r="F16" i="28"/>
  <c r="F10" i="41"/>
  <c r="G8" i="41"/>
  <c r="F11" i="41"/>
  <c r="D18" i="87"/>
  <c r="D20" i="87" s="1"/>
  <c r="E16" i="87"/>
  <c r="D19" i="87"/>
  <c r="G7" i="18"/>
  <c r="H4" i="18"/>
  <c r="G6" i="18"/>
  <c r="G11" i="18"/>
  <c r="G10" i="18"/>
  <c r="H8" i="18"/>
  <c r="F14" i="44"/>
  <c r="F15" i="44"/>
  <c r="G12" i="44"/>
  <c r="E14" i="13"/>
  <c r="F12" i="13"/>
  <c r="E15" i="13"/>
  <c r="D19" i="11"/>
  <c r="D18" i="11"/>
  <c r="D20" i="11" s="1"/>
  <c r="E16" i="11"/>
  <c r="H10" i="87"/>
  <c r="H11" i="87"/>
  <c r="G7" i="80"/>
  <c r="H4" i="80"/>
  <c r="G6" i="80"/>
  <c r="G10" i="19"/>
  <c r="G11" i="19"/>
  <c r="H8" i="19"/>
  <c r="G11" i="58"/>
  <c r="G10" i="58"/>
  <c r="G4" i="37"/>
  <c r="F6" i="37"/>
  <c r="F7" i="37"/>
  <c r="F7" i="42"/>
  <c r="F6" i="42"/>
  <c r="G4" i="42"/>
  <c r="F15" i="37"/>
  <c r="G12" i="37"/>
  <c r="F14" i="37"/>
  <c r="G12" i="54"/>
  <c r="G14" i="78"/>
  <c r="G15" i="78"/>
  <c r="H12" i="78"/>
  <c r="G4" i="94"/>
  <c r="F6" i="94"/>
  <c r="F7" i="94"/>
  <c r="G10" i="98"/>
  <c r="G12" i="98" s="1"/>
  <c r="H8" i="98"/>
  <c r="G11" i="98"/>
  <c r="F11" i="93"/>
  <c r="F10" i="93"/>
  <c r="G8" i="93"/>
  <c r="E14" i="48"/>
  <c r="E16" i="48" s="1"/>
  <c r="F12" i="48"/>
  <c r="E15" i="48"/>
  <c r="D18" i="88"/>
  <c r="D20" i="88" s="1"/>
  <c r="D19" i="88"/>
  <c r="E16" i="88"/>
  <c r="G8" i="70"/>
  <c r="F10" i="70"/>
  <c r="F20" i="70" s="1"/>
  <c r="F11" i="70"/>
  <c r="F10" i="80"/>
  <c r="F11" i="80"/>
  <c r="G8" i="80"/>
  <c r="E19" i="35"/>
  <c r="E18" i="35"/>
  <c r="E20" i="35" s="1"/>
  <c r="F16" i="35"/>
  <c r="F15" i="67"/>
  <c r="G12" i="67"/>
  <c r="F14" i="67"/>
  <c r="H4" i="4"/>
  <c r="G7" i="4"/>
  <c r="G6" i="4"/>
  <c r="H8" i="38"/>
  <c r="G10" i="38"/>
  <c r="G11" i="38"/>
  <c r="G4" i="41"/>
  <c r="F7" i="41"/>
  <c r="F6" i="41"/>
  <c r="H8" i="68"/>
  <c r="G10" i="68"/>
  <c r="G16" i="68" s="1"/>
  <c r="G11" i="68"/>
  <c r="E16" i="79"/>
  <c r="F12" i="69"/>
  <c r="E15" i="69"/>
  <c r="E14" i="69"/>
  <c r="E16" i="69" s="1"/>
  <c r="F16" i="6"/>
  <c r="E19" i="6"/>
  <c r="E18" i="6"/>
  <c r="E16" i="36"/>
  <c r="F7" i="56"/>
  <c r="G4" i="56"/>
  <c r="F6" i="56"/>
  <c r="F12" i="56" s="1"/>
  <c r="F12" i="89"/>
  <c r="E15" i="89"/>
  <c r="E14" i="89"/>
  <c r="F10" i="37"/>
  <c r="F11" i="37"/>
  <c r="G8" i="37"/>
  <c r="G11" i="57"/>
  <c r="G10" i="57"/>
  <c r="G4" i="2"/>
  <c r="F6" i="2"/>
  <c r="F7" i="2"/>
  <c r="F14" i="35"/>
  <c r="F15" i="35"/>
  <c r="G12" i="35"/>
  <c r="F7" i="23"/>
  <c r="F6" i="23"/>
  <c r="F12" i="23" s="1"/>
  <c r="G4" i="23"/>
  <c r="D18" i="38"/>
  <c r="D20" i="38" s="1"/>
  <c r="D19" i="38"/>
  <c r="E16" i="38"/>
  <c r="G7" i="75"/>
  <c r="H4" i="75"/>
  <c r="G6" i="75"/>
  <c r="H4" i="8"/>
  <c r="G6" i="8"/>
  <c r="G7" i="8"/>
  <c r="E16" i="12"/>
  <c r="D19" i="12"/>
  <c r="D18" i="12"/>
  <c r="D20" i="12" s="1"/>
  <c r="G6" i="32"/>
  <c r="G7" i="32"/>
  <c r="D19" i="15"/>
  <c r="D18" i="15"/>
  <c r="D20" i="15" s="1"/>
  <c r="E16" i="15"/>
  <c r="F15" i="97"/>
  <c r="G12" i="97"/>
  <c r="F14" i="97"/>
  <c r="G11" i="62"/>
  <c r="G10" i="62"/>
  <c r="G12" i="62" s="1"/>
  <c r="E20" i="70"/>
  <c r="G11" i="44"/>
  <c r="H8" i="44"/>
  <c r="G10" i="44"/>
  <c r="E18" i="14"/>
  <c r="E20" i="14" s="1"/>
  <c r="E19" i="14"/>
  <c r="F16" i="14"/>
  <c r="H6" i="15"/>
  <c r="H7" i="15"/>
  <c r="I4" i="15"/>
  <c r="E14" i="64"/>
  <c r="E15" i="64"/>
  <c r="F12" i="64"/>
  <c r="G4" i="79"/>
  <c r="F7" i="79"/>
  <c r="F6" i="79"/>
  <c r="F14" i="90"/>
  <c r="G12" i="90"/>
  <c r="F15" i="90"/>
  <c r="G15" i="76"/>
  <c r="H12" i="76"/>
  <c r="G14" i="76"/>
  <c r="F7" i="87"/>
  <c r="F6" i="87"/>
  <c r="G4" i="87"/>
  <c r="F10" i="94"/>
  <c r="G8" i="94"/>
  <c r="F11" i="94"/>
  <c r="I8" i="14"/>
  <c r="H10" i="14"/>
  <c r="H11" i="14"/>
  <c r="F14" i="81"/>
  <c r="G12" i="81"/>
  <c r="F15" i="81"/>
  <c r="D20" i="13"/>
  <c r="E14" i="29"/>
  <c r="E16" i="29" s="1"/>
  <c r="F12" i="29"/>
  <c r="E15" i="29"/>
  <c r="F12" i="59"/>
  <c r="F15" i="42"/>
  <c r="F14" i="42"/>
  <c r="G12" i="42"/>
  <c r="F16" i="67"/>
  <c r="E19" i="67"/>
  <c r="E18" i="67"/>
  <c r="E20" i="67" s="1"/>
  <c r="F20" i="92"/>
  <c r="H6" i="98"/>
  <c r="H7" i="98"/>
  <c r="F11" i="2"/>
  <c r="G8" i="2"/>
  <c r="F10" i="2"/>
  <c r="F7" i="39"/>
  <c r="G4" i="39"/>
  <c r="F6" i="39"/>
  <c r="E20" i="28"/>
  <c r="F15" i="83"/>
  <c r="G12" i="83"/>
  <c r="F14" i="83"/>
  <c r="F11" i="88"/>
  <c r="F10" i="88"/>
  <c r="G8" i="88"/>
  <c r="G4" i="35"/>
  <c r="F7" i="35"/>
  <c r="F6" i="35"/>
  <c r="F6" i="20"/>
  <c r="G4" i="20"/>
  <c r="F7" i="20"/>
  <c r="G12" i="19"/>
  <c r="F14" i="19"/>
  <c r="F16" i="19" s="1"/>
  <c r="F15" i="19"/>
  <c r="G10" i="84"/>
  <c r="G11" i="84"/>
  <c r="H8" i="84"/>
  <c r="F14" i="43"/>
  <c r="F15" i="43"/>
  <c r="G12" i="43"/>
  <c r="E14" i="38"/>
  <c r="F12" i="38"/>
  <c r="E15" i="38"/>
  <c r="F11" i="83"/>
  <c r="G8" i="83"/>
  <c r="F10" i="83"/>
  <c r="E19" i="94"/>
  <c r="E18" i="94"/>
  <c r="E20" i="94" s="1"/>
  <c r="F16" i="94"/>
  <c r="F15" i="12"/>
  <c r="F14" i="12"/>
  <c r="G12" i="12"/>
  <c r="G11" i="23"/>
  <c r="G10" i="23"/>
  <c r="E14" i="87"/>
  <c r="E15" i="87"/>
  <c r="F12" i="87"/>
  <c r="D18" i="64"/>
  <c r="D20" i="64" s="1"/>
  <c r="D19" i="64"/>
  <c r="E16" i="64"/>
  <c r="E14" i="80"/>
  <c r="E20" i="80" s="1"/>
  <c r="F12" i="80"/>
  <c r="E15" i="80"/>
  <c r="G7" i="59"/>
  <c r="G6" i="59"/>
  <c r="F10" i="71"/>
  <c r="F11" i="71"/>
  <c r="G8" i="71"/>
  <c r="F7" i="90"/>
  <c r="G4" i="90"/>
  <c r="F6" i="90"/>
  <c r="H8" i="15"/>
  <c r="G11" i="15"/>
  <c r="G10" i="15"/>
  <c r="F7" i="28"/>
  <c r="G4" i="28"/>
  <c r="F6" i="28"/>
  <c r="E19" i="83" l="1"/>
  <c r="F16" i="83"/>
  <c r="E18" i="83"/>
  <c r="D22" i="83"/>
  <c r="D23" i="83"/>
  <c r="E20" i="83"/>
  <c r="G6" i="81"/>
  <c r="G7" i="81"/>
  <c r="H4" i="81"/>
  <c r="G7" i="78"/>
  <c r="H4" i="78"/>
  <c r="G6" i="78"/>
  <c r="G6" i="77"/>
  <c r="G7" i="77"/>
  <c r="H4" i="77"/>
  <c r="G6" i="70"/>
  <c r="G7" i="70"/>
  <c r="F14" i="39"/>
  <c r="F16" i="39" s="1"/>
  <c r="F15" i="39"/>
  <c r="G12" i="39"/>
  <c r="G6" i="27"/>
  <c r="G7" i="27"/>
  <c r="G6" i="25"/>
  <c r="G7" i="25"/>
  <c r="F15" i="10"/>
  <c r="F14" i="10"/>
  <c r="F20" i="10" s="1"/>
  <c r="G12" i="10"/>
  <c r="F19" i="107"/>
  <c r="G16" i="107"/>
  <c r="F18" i="107"/>
  <c r="F20" i="107"/>
  <c r="H12" i="107"/>
  <c r="G14" i="107"/>
  <c r="G15" i="107"/>
  <c r="H10" i="107"/>
  <c r="H11" i="107"/>
  <c r="G12" i="105"/>
  <c r="H7" i="104"/>
  <c r="H8" i="104"/>
  <c r="H13" i="104"/>
  <c r="H12" i="104"/>
  <c r="H10" i="103"/>
  <c r="H11" i="103"/>
  <c r="G15" i="103"/>
  <c r="H12" i="103"/>
  <c r="G14" i="103"/>
  <c r="G16" i="103" s="1"/>
  <c r="H6" i="103"/>
  <c r="H7" i="103"/>
  <c r="H14" i="101"/>
  <c r="I12" i="101"/>
  <c r="H15" i="101"/>
  <c r="E20" i="6"/>
  <c r="G12" i="41"/>
  <c r="F15" i="41"/>
  <c r="F14" i="41"/>
  <c r="F15" i="8"/>
  <c r="G12" i="8"/>
  <c r="F14" i="8"/>
  <c r="G11" i="13"/>
  <c r="G10" i="13"/>
  <c r="H8" i="13"/>
  <c r="F15" i="94"/>
  <c r="G12" i="94"/>
  <c r="F14" i="94"/>
  <c r="G7" i="53"/>
  <c r="G6" i="53"/>
  <c r="G12" i="53" s="1"/>
  <c r="H4" i="19"/>
  <c r="G6" i="19"/>
  <c r="G7" i="19"/>
  <c r="G6" i="58"/>
  <c r="G12" i="58" s="1"/>
  <c r="G7" i="58"/>
  <c r="G7" i="6"/>
  <c r="H4" i="6"/>
  <c r="G6" i="6"/>
  <c r="G12" i="96"/>
  <c r="F15" i="96"/>
  <c r="F14" i="96"/>
  <c r="F20" i="96" s="1"/>
  <c r="G7" i="11"/>
  <c r="G6" i="11"/>
  <c r="H4" i="11"/>
  <c r="G11" i="51"/>
  <c r="G10" i="51"/>
  <c r="G12" i="51" s="1"/>
  <c r="F16" i="45"/>
  <c r="E19" i="45"/>
  <c r="E18" i="45"/>
  <c r="E20" i="45" s="1"/>
  <c r="G6" i="82"/>
  <c r="H4" i="82"/>
  <c r="G7" i="82"/>
  <c r="G14" i="17"/>
  <c r="G16" i="17" s="1"/>
  <c r="G15" i="17"/>
  <c r="H12" i="17"/>
  <c r="G10" i="11"/>
  <c r="G11" i="11"/>
  <c r="H8" i="11"/>
  <c r="G11" i="99"/>
  <c r="G10" i="99"/>
  <c r="G12" i="99" s="1"/>
  <c r="G6" i="31"/>
  <c r="G7" i="31"/>
  <c r="F16" i="41"/>
  <c r="G7" i="97"/>
  <c r="H4" i="97"/>
  <c r="G6" i="97"/>
  <c r="H4" i="9"/>
  <c r="G7" i="9"/>
  <c r="G6" i="9"/>
  <c r="G7" i="34"/>
  <c r="G6" i="34"/>
  <c r="H4" i="34"/>
  <c r="F15" i="5"/>
  <c r="F14" i="5"/>
  <c r="G12" i="5"/>
  <c r="G15" i="16"/>
  <c r="H12" i="16"/>
  <c r="G14" i="16"/>
  <c r="E18" i="43"/>
  <c r="E20" i="43" s="1"/>
  <c r="E19" i="43"/>
  <c r="F16" i="43"/>
  <c r="I8" i="101"/>
  <c r="H11" i="101"/>
  <c r="H10" i="101"/>
  <c r="H16" i="101" s="1"/>
  <c r="I7" i="101"/>
  <c r="I6" i="101"/>
  <c r="J4" i="101"/>
  <c r="G15" i="71"/>
  <c r="G14" i="71"/>
  <c r="H12" i="71"/>
  <c r="G16" i="71"/>
  <c r="F18" i="71"/>
  <c r="F20" i="71" s="1"/>
  <c r="F19" i="71"/>
  <c r="I4" i="100"/>
  <c r="H6" i="100"/>
  <c r="H12" i="100" s="1"/>
  <c r="H7" i="100"/>
  <c r="J8" i="100"/>
  <c r="I11" i="100"/>
  <c r="I10" i="100"/>
  <c r="F15" i="64"/>
  <c r="G12" i="64"/>
  <c r="F14" i="64"/>
  <c r="H11" i="39"/>
  <c r="H10" i="39"/>
  <c r="G19" i="70"/>
  <c r="G18" i="70"/>
  <c r="H7" i="38"/>
  <c r="H6" i="38"/>
  <c r="H10" i="86"/>
  <c r="H11" i="86"/>
  <c r="H11" i="90"/>
  <c r="H10" i="90"/>
  <c r="H8" i="42"/>
  <c r="G10" i="42"/>
  <c r="G11" i="42"/>
  <c r="G10" i="92"/>
  <c r="H8" i="92"/>
  <c r="G11" i="92"/>
  <c r="F12" i="49"/>
  <c r="F18" i="77"/>
  <c r="G16" i="77"/>
  <c r="F19" i="77"/>
  <c r="H7" i="17"/>
  <c r="H6" i="17"/>
  <c r="G18" i="96"/>
  <c r="G19" i="96"/>
  <c r="H16" i="96"/>
  <c r="F22" i="84"/>
  <c r="G20" i="84"/>
  <c r="F23" i="84"/>
  <c r="G7" i="28"/>
  <c r="G6" i="28"/>
  <c r="G7" i="35"/>
  <c r="H4" i="35"/>
  <c r="G6" i="35"/>
  <c r="H10" i="18"/>
  <c r="H11" i="18"/>
  <c r="G7" i="39"/>
  <c r="H4" i="39"/>
  <c r="G6" i="39"/>
  <c r="G11" i="94"/>
  <c r="H8" i="94"/>
  <c r="G10" i="94"/>
  <c r="H10" i="38"/>
  <c r="H11" i="38"/>
  <c r="G11" i="80"/>
  <c r="G10" i="80"/>
  <c r="H8" i="80"/>
  <c r="G10" i="45"/>
  <c r="G11" i="45"/>
  <c r="H8" i="45"/>
  <c r="E18" i="97"/>
  <c r="E20" i="97" s="1"/>
  <c r="F16" i="97"/>
  <c r="E19" i="97"/>
  <c r="G11" i="27"/>
  <c r="G10" i="27"/>
  <c r="G12" i="27" s="1"/>
  <c r="E19" i="4"/>
  <c r="F16" i="4"/>
  <c r="E18" i="4"/>
  <c r="F14" i="84"/>
  <c r="F15" i="84"/>
  <c r="G12" i="84"/>
  <c r="H7" i="86"/>
  <c r="H6" i="86"/>
  <c r="G10" i="82"/>
  <c r="G11" i="82"/>
  <c r="H8" i="82"/>
  <c r="H11" i="35"/>
  <c r="H10" i="35"/>
  <c r="H10" i="97"/>
  <c r="H11" i="97"/>
  <c r="H8" i="3"/>
  <c r="G11" i="3"/>
  <c r="G10" i="3"/>
  <c r="G12" i="57"/>
  <c r="G7" i="55"/>
  <c r="G6" i="55"/>
  <c r="G12" i="55" s="1"/>
  <c r="F19" i="75"/>
  <c r="F18" i="75"/>
  <c r="F20" i="75" s="1"/>
  <c r="G16" i="75"/>
  <c r="E18" i="3"/>
  <c r="E20" i="3" s="1"/>
  <c r="F16" i="3"/>
  <c r="E19" i="3"/>
  <c r="G11" i="43"/>
  <c r="H8" i="43"/>
  <c r="G10" i="43"/>
  <c r="H6" i="13"/>
  <c r="I4" i="13"/>
  <c r="H7" i="13"/>
  <c r="G14" i="47"/>
  <c r="H12" i="47"/>
  <c r="G15" i="47"/>
  <c r="G7" i="93"/>
  <c r="G6" i="93"/>
  <c r="H4" i="93"/>
  <c r="I7" i="14"/>
  <c r="I6" i="14"/>
  <c r="J4" i="14"/>
  <c r="G14" i="45"/>
  <c r="G15" i="45"/>
  <c r="H12" i="45"/>
  <c r="I4" i="8"/>
  <c r="H7" i="8"/>
  <c r="H6" i="8"/>
  <c r="F18" i="94"/>
  <c r="F19" i="94"/>
  <c r="G16" i="94"/>
  <c r="H12" i="90"/>
  <c r="G15" i="90"/>
  <c r="G14" i="90"/>
  <c r="G15" i="67"/>
  <c r="H12" i="67"/>
  <c r="G14" i="67"/>
  <c r="G15" i="43"/>
  <c r="H12" i="43"/>
  <c r="G14" i="43"/>
  <c r="F14" i="80"/>
  <c r="F15" i="80"/>
  <c r="G12" i="80"/>
  <c r="G14" i="19"/>
  <c r="G16" i="19" s="1"/>
  <c r="H12" i="19"/>
  <c r="G15" i="19"/>
  <c r="G12" i="13"/>
  <c r="F15" i="13"/>
  <c r="F14" i="13"/>
  <c r="G10" i="41"/>
  <c r="G11" i="41"/>
  <c r="H8" i="41"/>
  <c r="F14" i="11"/>
  <c r="G12" i="11"/>
  <c r="F15" i="11"/>
  <c r="H6" i="67"/>
  <c r="H7" i="67"/>
  <c r="H6" i="46"/>
  <c r="H7" i="46"/>
  <c r="G11" i="6"/>
  <c r="H8" i="6"/>
  <c r="G10" i="6"/>
  <c r="H6" i="71"/>
  <c r="H7" i="71"/>
  <c r="I4" i="71"/>
  <c r="G15" i="77"/>
  <c r="G14" i="77"/>
  <c r="H12" i="77"/>
  <c r="F19" i="8"/>
  <c r="F18" i="8"/>
  <c r="F20" i="8" s="1"/>
  <c r="G16" i="8"/>
  <c r="H14" i="68"/>
  <c r="H15" i="68"/>
  <c r="I4" i="10"/>
  <c r="H7" i="10"/>
  <c r="H6" i="10"/>
  <c r="G11" i="67"/>
  <c r="G10" i="67"/>
  <c r="H8" i="67"/>
  <c r="E18" i="13"/>
  <c r="E20" i="13" s="1"/>
  <c r="F16" i="13"/>
  <c r="E19" i="13"/>
  <c r="G6" i="40"/>
  <c r="G16" i="40" s="1"/>
  <c r="G7" i="40"/>
  <c r="H4" i="40"/>
  <c r="F19" i="46"/>
  <c r="F18" i="46"/>
  <c r="F20" i="46" s="1"/>
  <c r="G16" i="46"/>
  <c r="G7" i="21"/>
  <c r="G6" i="21"/>
  <c r="G12" i="21" s="1"/>
  <c r="F14" i="32"/>
  <c r="F16" i="32" s="1"/>
  <c r="G12" i="32"/>
  <c r="F15" i="32"/>
  <c r="G11" i="77"/>
  <c r="H8" i="77"/>
  <c r="G10" i="77"/>
  <c r="G6" i="89"/>
  <c r="G7" i="89"/>
  <c r="H4" i="89"/>
  <c r="I11" i="8"/>
  <c r="J8" i="8"/>
  <c r="I10" i="8"/>
  <c r="G10" i="79"/>
  <c r="G11" i="79"/>
  <c r="H8" i="79"/>
  <c r="F19" i="14"/>
  <c r="G16" i="14"/>
  <c r="F18" i="14"/>
  <c r="F20" i="14" s="1"/>
  <c r="G7" i="90"/>
  <c r="H4" i="90"/>
  <c r="G6" i="90"/>
  <c r="G11" i="88"/>
  <c r="G10" i="88"/>
  <c r="H8" i="88"/>
  <c r="G7" i="23"/>
  <c r="G6" i="23"/>
  <c r="G12" i="23" s="1"/>
  <c r="H11" i="68"/>
  <c r="H10" i="68"/>
  <c r="H10" i="98"/>
  <c r="H12" i="98" s="1"/>
  <c r="H11" i="98"/>
  <c r="F16" i="37"/>
  <c r="H6" i="80"/>
  <c r="H7" i="80"/>
  <c r="F14" i="29"/>
  <c r="F16" i="29" s="1"/>
  <c r="G12" i="29"/>
  <c r="F15" i="29"/>
  <c r="G14" i="81"/>
  <c r="G15" i="81"/>
  <c r="H12" i="81"/>
  <c r="H10" i="44"/>
  <c r="H11" i="44"/>
  <c r="G15" i="97"/>
  <c r="H12" i="97"/>
  <c r="G14" i="97"/>
  <c r="G6" i="2"/>
  <c r="G7" i="2"/>
  <c r="H4" i="2"/>
  <c r="F19" i="6"/>
  <c r="F18" i="6"/>
  <c r="G16" i="6"/>
  <c r="F18" i="35"/>
  <c r="F20" i="35" s="1"/>
  <c r="G16" i="35"/>
  <c r="F19" i="35"/>
  <c r="G7" i="37"/>
  <c r="G6" i="37"/>
  <c r="H4" i="37"/>
  <c r="F18" i="84"/>
  <c r="G16" i="84"/>
  <c r="F19" i="84"/>
  <c r="H4" i="64"/>
  <c r="G6" i="64"/>
  <c r="G7" i="64"/>
  <c r="G11" i="25"/>
  <c r="G10" i="25"/>
  <c r="G12" i="25" s="1"/>
  <c r="H7" i="5"/>
  <c r="I4" i="5"/>
  <c r="H6" i="5"/>
  <c r="G10" i="78"/>
  <c r="G16" i="78" s="1"/>
  <c r="G11" i="78"/>
  <c r="H8" i="78"/>
  <c r="H11" i="69"/>
  <c r="H10" i="69"/>
  <c r="I11" i="12"/>
  <c r="J8" i="12"/>
  <c r="I10" i="12"/>
  <c r="F16" i="82"/>
  <c r="E18" i="82"/>
  <c r="E20" i="82" s="1"/>
  <c r="E19" i="82"/>
  <c r="F15" i="18"/>
  <c r="F14" i="18"/>
  <c r="F16" i="18" s="1"/>
  <c r="G12" i="18"/>
  <c r="H8" i="89"/>
  <c r="G11" i="89"/>
  <c r="G10" i="89"/>
  <c r="E20" i="9"/>
  <c r="H6" i="92"/>
  <c r="H7" i="92"/>
  <c r="G16" i="91"/>
  <c r="F19" i="91"/>
  <c r="F18" i="91"/>
  <c r="F16" i="47"/>
  <c r="G16" i="5"/>
  <c r="F19" i="5"/>
  <c r="F18" i="5"/>
  <c r="F20" i="5" s="1"/>
  <c r="F20" i="77"/>
  <c r="H7" i="16"/>
  <c r="H6" i="16"/>
  <c r="G14" i="36"/>
  <c r="G15" i="36"/>
  <c r="H12" i="36"/>
  <c r="H10" i="36"/>
  <c r="H11" i="36"/>
  <c r="H8" i="71"/>
  <c r="G11" i="71"/>
  <c r="G10" i="71"/>
  <c r="H8" i="83"/>
  <c r="G11" i="83"/>
  <c r="G10" i="83"/>
  <c r="G12" i="48"/>
  <c r="F15" i="48"/>
  <c r="F14" i="48"/>
  <c r="H12" i="37"/>
  <c r="G15" i="37"/>
  <c r="G14" i="37"/>
  <c r="H7" i="18"/>
  <c r="H6" i="18"/>
  <c r="F18" i="28"/>
  <c r="F20" i="28" s="1"/>
  <c r="G16" i="28"/>
  <c r="F19" i="28"/>
  <c r="I11" i="4"/>
  <c r="I10" i="4"/>
  <c r="G11" i="31"/>
  <c r="G10" i="31"/>
  <c r="G16" i="31" s="1"/>
  <c r="I12" i="14"/>
  <c r="H15" i="14"/>
  <c r="H14" i="14"/>
  <c r="H12" i="34"/>
  <c r="G14" i="34"/>
  <c r="G16" i="34" s="1"/>
  <c r="G15" i="34"/>
  <c r="F14" i="91"/>
  <c r="G12" i="91"/>
  <c r="F15" i="91"/>
  <c r="F18" i="90"/>
  <c r="F20" i="90" s="1"/>
  <c r="G16" i="90"/>
  <c r="F19" i="90"/>
  <c r="G7" i="63"/>
  <c r="G6" i="63"/>
  <c r="G12" i="63" s="1"/>
  <c r="F19" i="9"/>
  <c r="G16" i="9"/>
  <c r="F18" i="9"/>
  <c r="G18" i="92"/>
  <c r="H16" i="92"/>
  <c r="G19" i="92"/>
  <c r="H11" i="75"/>
  <c r="H10" i="75"/>
  <c r="G10" i="59"/>
  <c r="G12" i="59" s="1"/>
  <c r="G11" i="59"/>
  <c r="H12" i="3"/>
  <c r="G15" i="3"/>
  <c r="G14" i="3"/>
  <c r="G16" i="76"/>
  <c r="E20" i="4"/>
  <c r="G10" i="47"/>
  <c r="G16" i="47" s="1"/>
  <c r="H8" i="47"/>
  <c r="G11" i="47"/>
  <c r="I14" i="1"/>
  <c r="I15" i="1"/>
  <c r="G19" i="10"/>
  <c r="H16" i="10"/>
  <c r="G18" i="10"/>
  <c r="H7" i="96"/>
  <c r="H6" i="96"/>
  <c r="E18" i="64"/>
  <c r="E20" i="64" s="1"/>
  <c r="E19" i="64"/>
  <c r="F16" i="64"/>
  <c r="G6" i="20"/>
  <c r="G7" i="20"/>
  <c r="G11" i="2"/>
  <c r="G10" i="2"/>
  <c r="H8" i="2"/>
  <c r="J4" i="15"/>
  <c r="I7" i="15"/>
  <c r="I6" i="15"/>
  <c r="F16" i="12"/>
  <c r="E18" i="12"/>
  <c r="E20" i="12" s="1"/>
  <c r="E19" i="12"/>
  <c r="H10" i="15"/>
  <c r="H11" i="15"/>
  <c r="I8" i="15"/>
  <c r="G14" i="12"/>
  <c r="H12" i="12"/>
  <c r="G15" i="12"/>
  <c r="H11" i="84"/>
  <c r="H10" i="84"/>
  <c r="H12" i="83"/>
  <c r="G15" i="83"/>
  <c r="G14" i="83"/>
  <c r="F18" i="67"/>
  <c r="F20" i="67" s="1"/>
  <c r="F19" i="67"/>
  <c r="G16" i="67"/>
  <c r="H4" i="87"/>
  <c r="G7" i="87"/>
  <c r="G6" i="87"/>
  <c r="H14" i="76"/>
  <c r="H15" i="76"/>
  <c r="E19" i="15"/>
  <c r="E18" i="15"/>
  <c r="E20" i="15" s="1"/>
  <c r="F16" i="15"/>
  <c r="H7" i="75"/>
  <c r="H6" i="75"/>
  <c r="G14" i="35"/>
  <c r="G15" i="35"/>
  <c r="H12" i="35"/>
  <c r="G7" i="41"/>
  <c r="H4" i="41"/>
  <c r="G6" i="41"/>
  <c r="F20" i="94"/>
  <c r="G15" i="44"/>
  <c r="G14" i="44"/>
  <c r="H12" i="44"/>
  <c r="J8" i="10"/>
  <c r="I10" i="10"/>
  <c r="I11" i="10"/>
  <c r="G15" i="75"/>
  <c r="G14" i="75"/>
  <c r="H12" i="75"/>
  <c r="E18" i="16"/>
  <c r="E20" i="16" s="1"/>
  <c r="F16" i="16"/>
  <c r="E19" i="16"/>
  <c r="F15" i="6"/>
  <c r="F14" i="6"/>
  <c r="F20" i="6" s="1"/>
  <c r="G12" i="6"/>
  <c r="G10" i="96"/>
  <c r="H8" i="96"/>
  <c r="G11" i="96"/>
  <c r="F14" i="88"/>
  <c r="G12" i="88"/>
  <c r="F15" i="88"/>
  <c r="G6" i="88"/>
  <c r="G7" i="88"/>
  <c r="H4" i="88"/>
  <c r="I8" i="9"/>
  <c r="H10" i="9"/>
  <c r="H11" i="9"/>
  <c r="E20" i="86"/>
  <c r="E19" i="2"/>
  <c r="F16" i="2"/>
  <c r="E18" i="2"/>
  <c r="E20" i="2" s="1"/>
  <c r="F15" i="9"/>
  <c r="F14" i="9"/>
  <c r="G12" i="9"/>
  <c r="E18" i="1"/>
  <c r="E20" i="1" s="1"/>
  <c r="E19" i="1"/>
  <c r="F16" i="1"/>
  <c r="H7" i="76"/>
  <c r="H6" i="76"/>
  <c r="G14" i="92"/>
  <c r="G20" i="92" s="1"/>
  <c r="G15" i="92"/>
  <c r="H12" i="92"/>
  <c r="I6" i="1"/>
  <c r="I7" i="1"/>
  <c r="F14" i="4"/>
  <c r="G12" i="4"/>
  <c r="F15" i="4"/>
  <c r="H7" i="84"/>
  <c r="H6" i="84"/>
  <c r="H8" i="1"/>
  <c r="G10" i="1"/>
  <c r="G11" i="1"/>
  <c r="F15" i="87"/>
  <c r="G12" i="87"/>
  <c r="F14" i="87"/>
  <c r="F15" i="38"/>
  <c r="G12" i="38"/>
  <c r="F14" i="38"/>
  <c r="J8" i="14"/>
  <c r="I11" i="14"/>
  <c r="I10" i="14"/>
  <c r="H12" i="42"/>
  <c r="G15" i="42"/>
  <c r="G14" i="42"/>
  <c r="G10" i="37"/>
  <c r="G11" i="37"/>
  <c r="H8" i="37"/>
  <c r="G7" i="56"/>
  <c r="G6" i="56"/>
  <c r="G12" i="56" s="1"/>
  <c r="F14" i="69"/>
  <c r="F16" i="69" s="1"/>
  <c r="F15" i="69"/>
  <c r="G12" i="69"/>
  <c r="I4" i="4"/>
  <c r="H6" i="4"/>
  <c r="H7" i="4"/>
  <c r="G10" i="70"/>
  <c r="G20" i="70" s="1"/>
  <c r="G11" i="70"/>
  <c r="H8" i="93"/>
  <c r="G11" i="93"/>
  <c r="G10" i="93"/>
  <c r="G7" i="94"/>
  <c r="H4" i="94"/>
  <c r="G6" i="94"/>
  <c r="G7" i="42"/>
  <c r="H4" i="42"/>
  <c r="G6" i="42"/>
  <c r="H11" i="19"/>
  <c r="H10" i="19"/>
  <c r="E18" i="11"/>
  <c r="E20" i="11" s="1"/>
  <c r="E19" i="11"/>
  <c r="F16" i="11"/>
  <c r="H10" i="91"/>
  <c r="H11" i="91"/>
  <c r="H4" i="12"/>
  <c r="G7" i="12"/>
  <c r="G6" i="12"/>
  <c r="F16" i="48"/>
  <c r="H6" i="83"/>
  <c r="H7" i="83"/>
  <c r="H7" i="45"/>
  <c r="H6" i="45"/>
  <c r="G6" i="66"/>
  <c r="G12" i="66" s="1"/>
  <c r="H4" i="66"/>
  <c r="G7" i="66"/>
  <c r="H10" i="5"/>
  <c r="H11" i="5"/>
  <c r="I8" i="5"/>
  <c r="G12" i="86"/>
  <c r="F14" i="86"/>
  <c r="F15" i="86"/>
  <c r="F15" i="93"/>
  <c r="G12" i="93"/>
  <c r="F14" i="93"/>
  <c r="G14" i="2"/>
  <c r="H12" i="2"/>
  <c r="G15" i="2"/>
  <c r="H7" i="65"/>
  <c r="H14" i="65" s="1"/>
  <c r="H8" i="65"/>
  <c r="G7" i="3"/>
  <c r="G6" i="3"/>
  <c r="H4" i="3"/>
  <c r="H12" i="46"/>
  <c r="G15" i="46"/>
  <c r="G14" i="46"/>
  <c r="G12" i="33"/>
  <c r="F16" i="44"/>
  <c r="G7" i="52"/>
  <c r="G6" i="52"/>
  <c r="G12" i="52" s="1"/>
  <c r="G7" i="69"/>
  <c r="G6" i="69"/>
  <c r="H4" i="69"/>
  <c r="G7" i="79"/>
  <c r="G6" i="79"/>
  <c r="H4" i="79"/>
  <c r="E18" i="38"/>
  <c r="E20" i="38" s="1"/>
  <c r="E19" i="38"/>
  <c r="F16" i="38"/>
  <c r="F15" i="89"/>
  <c r="F14" i="89"/>
  <c r="G12" i="89"/>
  <c r="E18" i="88"/>
  <c r="E20" i="88" s="1"/>
  <c r="F16" i="88"/>
  <c r="E19" i="88"/>
  <c r="H15" i="78"/>
  <c r="H14" i="78"/>
  <c r="F16" i="42"/>
  <c r="E18" i="87"/>
  <c r="E20" i="87" s="1"/>
  <c r="E19" i="87"/>
  <c r="F16" i="87"/>
  <c r="G6" i="36"/>
  <c r="G7" i="36"/>
  <c r="H4" i="36"/>
  <c r="E18" i="89"/>
  <c r="E20" i="89" s="1"/>
  <c r="F16" i="89"/>
  <c r="E19" i="89"/>
  <c r="F14" i="79"/>
  <c r="F16" i="79" s="1"/>
  <c r="F15" i="79"/>
  <c r="G12" i="79"/>
  <c r="G16" i="86"/>
  <c r="F19" i="86"/>
  <c r="F18" i="86"/>
  <c r="G6" i="48"/>
  <c r="G7" i="48"/>
  <c r="H4" i="48"/>
  <c r="H8" i="46"/>
  <c r="G11" i="46"/>
  <c r="G10" i="46"/>
  <c r="G10" i="81"/>
  <c r="H8" i="81"/>
  <c r="G11" i="81"/>
  <c r="E18" i="93"/>
  <c r="E20" i="93" s="1"/>
  <c r="F16" i="93"/>
  <c r="E19" i="93"/>
  <c r="G6" i="26"/>
  <c r="G8" i="26" s="1"/>
  <c r="G7" i="26"/>
  <c r="G7" i="60"/>
  <c r="G6" i="60"/>
  <c r="G12" i="60" s="1"/>
  <c r="F19" i="80"/>
  <c r="F18" i="80"/>
  <c r="G16" i="80"/>
  <c r="G7" i="30"/>
  <c r="G6" i="30"/>
  <c r="G16" i="30" s="1"/>
  <c r="F18" i="81"/>
  <c r="F20" i="81" s="1"/>
  <c r="F19" i="81"/>
  <c r="G16" i="81"/>
  <c r="H10" i="40"/>
  <c r="H11" i="40"/>
  <c r="G6" i="44"/>
  <c r="G16" i="44" s="1"/>
  <c r="H4" i="44"/>
  <c r="G7" i="44"/>
  <c r="F14" i="82"/>
  <c r="F15" i="82"/>
  <c r="G12" i="82"/>
  <c r="G14" i="10" l="1"/>
  <c r="G20" i="10" s="1"/>
  <c r="G15" i="10"/>
  <c r="H12" i="10"/>
  <c r="G14" i="39"/>
  <c r="G16" i="39" s="1"/>
  <c r="H12" i="39"/>
  <c r="G15" i="39"/>
  <c r="H7" i="77"/>
  <c r="H6" i="77"/>
  <c r="H7" i="78"/>
  <c r="H6" i="78"/>
  <c r="H7" i="81"/>
  <c r="H6" i="81"/>
  <c r="E23" i="83"/>
  <c r="F20" i="83"/>
  <c r="E22" i="83"/>
  <c r="F19" i="83"/>
  <c r="G16" i="83"/>
  <c r="F18" i="83"/>
  <c r="H15" i="107"/>
  <c r="H14" i="107"/>
  <c r="H16" i="107"/>
  <c r="G18" i="107"/>
  <c r="G20" i="107" s="1"/>
  <c r="G19" i="107"/>
  <c r="H14" i="104"/>
  <c r="H15" i="103"/>
  <c r="H14" i="103"/>
  <c r="H16" i="103" s="1"/>
  <c r="J12" i="101"/>
  <c r="I15" i="101"/>
  <c r="I14" i="101"/>
  <c r="G16" i="43"/>
  <c r="F19" i="43"/>
  <c r="F18" i="43"/>
  <c r="F20" i="43" s="1"/>
  <c r="H11" i="11"/>
  <c r="I8" i="11"/>
  <c r="H10" i="11"/>
  <c r="G15" i="8"/>
  <c r="H12" i="8"/>
  <c r="G14" i="8"/>
  <c r="H6" i="97"/>
  <c r="H7" i="97"/>
  <c r="F20" i="91"/>
  <c r="H6" i="34"/>
  <c r="H7" i="34"/>
  <c r="G15" i="94"/>
  <c r="G14" i="94"/>
  <c r="H12" i="94"/>
  <c r="H14" i="17"/>
  <c r="H16" i="17" s="1"/>
  <c r="H15" i="17"/>
  <c r="F18" i="45"/>
  <c r="F20" i="45" s="1"/>
  <c r="F19" i="45"/>
  <c r="G16" i="45"/>
  <c r="G14" i="96"/>
  <c r="G15" i="96"/>
  <c r="H12" i="96"/>
  <c r="H7" i="19"/>
  <c r="H6" i="19"/>
  <c r="H11" i="13"/>
  <c r="H10" i="13"/>
  <c r="I8" i="13"/>
  <c r="G14" i="41"/>
  <c r="H12" i="41"/>
  <c r="G15" i="41"/>
  <c r="G20" i="96"/>
  <c r="H14" i="16"/>
  <c r="H15" i="16"/>
  <c r="G16" i="41"/>
  <c r="H16" i="68"/>
  <c r="H7" i="11"/>
  <c r="I4" i="11"/>
  <c r="H6" i="11"/>
  <c r="H7" i="6"/>
  <c r="H6" i="6"/>
  <c r="I4" i="6"/>
  <c r="G15" i="5"/>
  <c r="G14" i="5"/>
  <c r="H12" i="5"/>
  <c r="I4" i="9"/>
  <c r="H7" i="9"/>
  <c r="H6" i="9"/>
  <c r="H6" i="82"/>
  <c r="H7" i="82"/>
  <c r="J6" i="101"/>
  <c r="J7" i="101"/>
  <c r="J8" i="101"/>
  <c r="I11" i="101"/>
  <c r="I10" i="101"/>
  <c r="I16" i="101" s="1"/>
  <c r="H15" i="71"/>
  <c r="H14" i="71"/>
  <c r="I12" i="71"/>
  <c r="H16" i="71"/>
  <c r="G19" i="71"/>
  <c r="G18" i="71"/>
  <c r="G20" i="71" s="1"/>
  <c r="I7" i="100"/>
  <c r="I6" i="100"/>
  <c r="I12" i="100" s="1"/>
  <c r="J4" i="100"/>
  <c r="J11" i="100"/>
  <c r="J10" i="100"/>
  <c r="F18" i="16"/>
  <c r="F20" i="16" s="1"/>
  <c r="G16" i="16"/>
  <c r="F19" i="16"/>
  <c r="I12" i="12"/>
  <c r="H15" i="12"/>
  <c r="H14" i="12"/>
  <c r="F19" i="12"/>
  <c r="F18" i="12"/>
  <c r="F20" i="12" s="1"/>
  <c r="G16" i="12"/>
  <c r="H12" i="93"/>
  <c r="G15" i="93"/>
  <c r="G14" i="93"/>
  <c r="H10" i="96"/>
  <c r="H11" i="96"/>
  <c r="F19" i="64"/>
  <c r="G16" i="64"/>
  <c r="F18" i="64"/>
  <c r="F20" i="64" s="1"/>
  <c r="H18" i="10"/>
  <c r="H19" i="10"/>
  <c r="I16" i="10"/>
  <c r="J12" i="14"/>
  <c r="I15" i="14"/>
  <c r="I14" i="14"/>
  <c r="G18" i="28"/>
  <c r="G20" i="28" s="1"/>
  <c r="G19" i="28"/>
  <c r="H10" i="78"/>
  <c r="H16" i="78" s="1"/>
  <c r="H11" i="78"/>
  <c r="H14" i="97"/>
  <c r="H15" i="97"/>
  <c r="H10" i="79"/>
  <c r="H11" i="79"/>
  <c r="H6" i="40"/>
  <c r="H16" i="40" s="1"/>
  <c r="H7" i="40"/>
  <c r="I7" i="71"/>
  <c r="J4" i="71"/>
  <c r="I6" i="71"/>
  <c r="H15" i="67"/>
  <c r="H14" i="67"/>
  <c r="F18" i="4"/>
  <c r="F19" i="4"/>
  <c r="G16" i="4"/>
  <c r="G19" i="77"/>
  <c r="G18" i="77"/>
  <c r="G20" i="77" s="1"/>
  <c r="H16" i="77"/>
  <c r="H10" i="42"/>
  <c r="H11" i="42"/>
  <c r="H7" i="44"/>
  <c r="H6" i="44"/>
  <c r="G14" i="82"/>
  <c r="G15" i="82"/>
  <c r="H12" i="82"/>
  <c r="F19" i="89"/>
  <c r="F18" i="89"/>
  <c r="F20" i="89" s="1"/>
  <c r="G16" i="89"/>
  <c r="H7" i="94"/>
  <c r="H6" i="94"/>
  <c r="H11" i="46"/>
  <c r="H10" i="46"/>
  <c r="F19" i="38"/>
  <c r="F18" i="38"/>
  <c r="G16" i="38"/>
  <c r="H7" i="66"/>
  <c r="H6" i="66"/>
  <c r="H12" i="66" s="1"/>
  <c r="I6" i="4"/>
  <c r="I7" i="4"/>
  <c r="G15" i="87"/>
  <c r="H12" i="87"/>
  <c r="G14" i="87"/>
  <c r="H15" i="92"/>
  <c r="H14" i="92"/>
  <c r="G15" i="9"/>
  <c r="H12" i="9"/>
  <c r="G14" i="9"/>
  <c r="H15" i="75"/>
  <c r="H14" i="75"/>
  <c r="I10" i="15"/>
  <c r="I11" i="15"/>
  <c r="J8" i="15"/>
  <c r="G15" i="91"/>
  <c r="H12" i="91"/>
  <c r="G14" i="91"/>
  <c r="G15" i="48"/>
  <c r="G14" i="48"/>
  <c r="H12" i="48"/>
  <c r="H11" i="71"/>
  <c r="H10" i="71"/>
  <c r="I8" i="71"/>
  <c r="G16" i="82"/>
  <c r="F18" i="82"/>
  <c r="F20" i="82" s="1"/>
  <c r="F19" i="82"/>
  <c r="G19" i="6"/>
  <c r="H16" i="6"/>
  <c r="G18" i="6"/>
  <c r="G15" i="80"/>
  <c r="H12" i="80"/>
  <c r="G14" i="80"/>
  <c r="I7" i="13"/>
  <c r="I6" i="13"/>
  <c r="J4" i="13"/>
  <c r="G18" i="75"/>
  <c r="G20" i="75" s="1"/>
  <c r="G19" i="75"/>
  <c r="H16" i="75"/>
  <c r="H6" i="35"/>
  <c r="H7" i="35"/>
  <c r="F19" i="93"/>
  <c r="F18" i="93"/>
  <c r="F20" i="93" s="1"/>
  <c r="G16" i="93"/>
  <c r="G18" i="86"/>
  <c r="H16" i="86"/>
  <c r="G19" i="86"/>
  <c r="H7" i="36"/>
  <c r="H6" i="36"/>
  <c r="F20" i="9"/>
  <c r="G15" i="6"/>
  <c r="H12" i="6"/>
  <c r="G14" i="6"/>
  <c r="J7" i="15"/>
  <c r="J6" i="15"/>
  <c r="G18" i="91"/>
  <c r="G19" i="91"/>
  <c r="H16" i="91"/>
  <c r="G15" i="29"/>
  <c r="G14" i="29"/>
  <c r="G16" i="29" s="1"/>
  <c r="H7" i="90"/>
  <c r="H6" i="90"/>
  <c r="G19" i="8"/>
  <c r="H16" i="8"/>
  <c r="G18" i="8"/>
  <c r="G20" i="8" s="1"/>
  <c r="H7" i="93"/>
  <c r="H6" i="93"/>
  <c r="I8" i="3"/>
  <c r="H10" i="3"/>
  <c r="H11" i="3"/>
  <c r="H10" i="45"/>
  <c r="H11" i="45"/>
  <c r="H19" i="96"/>
  <c r="H18" i="96"/>
  <c r="H15" i="2"/>
  <c r="I12" i="2"/>
  <c r="H14" i="2"/>
  <c r="G15" i="79"/>
  <c r="H12" i="79"/>
  <c r="G14" i="79"/>
  <c r="G16" i="79" s="1"/>
  <c r="F20" i="86"/>
  <c r="J11" i="14"/>
  <c r="J10" i="14"/>
  <c r="H18" i="92"/>
  <c r="H19" i="92"/>
  <c r="H7" i="37"/>
  <c r="H6" i="37"/>
  <c r="H11" i="77"/>
  <c r="H10" i="77"/>
  <c r="F20" i="80"/>
  <c r="J4" i="8"/>
  <c r="I6" i="8"/>
  <c r="I7" i="8"/>
  <c r="H11" i="94"/>
  <c r="H10" i="94"/>
  <c r="G16" i="48"/>
  <c r="H7" i="69"/>
  <c r="H6" i="69"/>
  <c r="H10" i="37"/>
  <c r="H11" i="37"/>
  <c r="H15" i="42"/>
  <c r="H14" i="42"/>
  <c r="I8" i="1"/>
  <c r="H11" i="1"/>
  <c r="H10" i="1"/>
  <c r="H6" i="88"/>
  <c r="H7" i="88"/>
  <c r="H14" i="44"/>
  <c r="H15" i="44"/>
  <c r="G18" i="81"/>
  <c r="G20" i="81" s="1"/>
  <c r="G19" i="81"/>
  <c r="H16" i="81"/>
  <c r="G19" i="80"/>
  <c r="G18" i="80"/>
  <c r="H16" i="80"/>
  <c r="G14" i="69"/>
  <c r="G16" i="69" s="1"/>
  <c r="H12" i="69"/>
  <c r="G15" i="69"/>
  <c r="H14" i="46"/>
  <c r="H15" i="46"/>
  <c r="I4" i="12"/>
  <c r="H7" i="12"/>
  <c r="H6" i="12"/>
  <c r="F19" i="15"/>
  <c r="F18" i="15"/>
  <c r="F20" i="15" s="1"/>
  <c r="G16" i="15"/>
  <c r="H6" i="87"/>
  <c r="H7" i="87"/>
  <c r="H15" i="83"/>
  <c r="H14" i="83"/>
  <c r="H10" i="2"/>
  <c r="I8" i="2"/>
  <c r="H11" i="2"/>
  <c r="H11" i="89"/>
  <c r="H10" i="89"/>
  <c r="J10" i="12"/>
  <c r="J11" i="12"/>
  <c r="G16" i="36"/>
  <c r="G16" i="88"/>
  <c r="F19" i="88"/>
  <c r="F18" i="88"/>
  <c r="F20" i="88" s="1"/>
  <c r="H6" i="79"/>
  <c r="H7" i="79"/>
  <c r="H6" i="3"/>
  <c r="I4" i="3"/>
  <c r="H7" i="3"/>
  <c r="G14" i="86"/>
  <c r="G20" i="86" s="1"/>
  <c r="H12" i="86"/>
  <c r="G15" i="86"/>
  <c r="G16" i="42"/>
  <c r="H11" i="93"/>
  <c r="H10" i="93"/>
  <c r="H12" i="4"/>
  <c r="G14" i="4"/>
  <c r="G15" i="4"/>
  <c r="H16" i="76"/>
  <c r="G15" i="88"/>
  <c r="H12" i="88"/>
  <c r="G14" i="88"/>
  <c r="H6" i="41"/>
  <c r="H7" i="41"/>
  <c r="I12" i="3"/>
  <c r="H14" i="3"/>
  <c r="H15" i="3"/>
  <c r="G15" i="18"/>
  <c r="G14" i="18"/>
  <c r="G16" i="18" s="1"/>
  <c r="H12" i="18"/>
  <c r="G16" i="37"/>
  <c r="H6" i="2"/>
  <c r="H7" i="2"/>
  <c r="I4" i="2"/>
  <c r="J10" i="8"/>
  <c r="J11" i="8"/>
  <c r="H11" i="6"/>
  <c r="H10" i="6"/>
  <c r="I8" i="6"/>
  <c r="H12" i="13"/>
  <c r="G15" i="13"/>
  <c r="G14" i="13"/>
  <c r="H15" i="90"/>
  <c r="H14" i="90"/>
  <c r="H14" i="45"/>
  <c r="H15" i="45"/>
  <c r="H11" i="43"/>
  <c r="H10" i="43"/>
  <c r="G14" i="84"/>
  <c r="G15" i="84"/>
  <c r="H12" i="84"/>
  <c r="H11" i="92"/>
  <c r="H10" i="92"/>
  <c r="H20" i="92" s="1"/>
  <c r="H11" i="81"/>
  <c r="H10" i="81"/>
  <c r="H6" i="48"/>
  <c r="H7" i="48"/>
  <c r="F19" i="87"/>
  <c r="G16" i="87"/>
  <c r="F18" i="87"/>
  <c r="F20" i="87" s="1"/>
  <c r="I10" i="5"/>
  <c r="I11" i="5"/>
  <c r="H7" i="42"/>
  <c r="H6" i="42"/>
  <c r="F20" i="38"/>
  <c r="F20" i="4"/>
  <c r="F19" i="2"/>
  <c r="G16" i="2"/>
  <c r="F18" i="2"/>
  <c r="F20" i="2" s="1"/>
  <c r="I10" i="9"/>
  <c r="J8" i="9"/>
  <c r="I11" i="9"/>
  <c r="H11" i="47"/>
  <c r="H10" i="47"/>
  <c r="H15" i="34"/>
  <c r="H14" i="34"/>
  <c r="H16" i="34" s="1"/>
  <c r="H14" i="36"/>
  <c r="H15" i="36"/>
  <c r="H7" i="64"/>
  <c r="H6" i="64"/>
  <c r="G19" i="46"/>
  <c r="H16" i="46"/>
  <c r="G18" i="46"/>
  <c r="G20" i="46" s="1"/>
  <c r="G16" i="13"/>
  <c r="F19" i="13"/>
  <c r="F18" i="13"/>
  <c r="F20" i="13" s="1"/>
  <c r="H14" i="77"/>
  <c r="H15" i="77"/>
  <c r="H12" i="11"/>
  <c r="G15" i="11"/>
  <c r="G14" i="11"/>
  <c r="H15" i="43"/>
  <c r="H14" i="43"/>
  <c r="G19" i="94"/>
  <c r="G18" i="94"/>
  <c r="G20" i="94" s="1"/>
  <c r="H16" i="94"/>
  <c r="F18" i="97"/>
  <c r="F20" i="97" s="1"/>
  <c r="G16" i="97"/>
  <c r="F19" i="97"/>
  <c r="H12" i="89"/>
  <c r="G14" i="89"/>
  <c r="G15" i="89"/>
  <c r="H12" i="38"/>
  <c r="G15" i="38"/>
  <c r="G14" i="38"/>
  <c r="G16" i="1"/>
  <c r="F19" i="1"/>
  <c r="F18" i="1"/>
  <c r="F20" i="1" s="1"/>
  <c r="J11" i="10"/>
  <c r="J10" i="10"/>
  <c r="H15" i="35"/>
  <c r="H14" i="35"/>
  <c r="G18" i="67"/>
  <c r="G20" i="67" s="1"/>
  <c r="H16" i="67"/>
  <c r="G19" i="67"/>
  <c r="H16" i="9"/>
  <c r="G18" i="9"/>
  <c r="G19" i="9"/>
  <c r="G19" i="90"/>
  <c r="G18" i="90"/>
  <c r="G20" i="90" s="1"/>
  <c r="H16" i="90"/>
  <c r="H14" i="37"/>
  <c r="H15" i="37"/>
  <c r="H11" i="83"/>
  <c r="H10" i="83"/>
  <c r="G19" i="5"/>
  <c r="H16" i="5"/>
  <c r="G18" i="5"/>
  <c r="G20" i="5" s="1"/>
  <c r="I7" i="5"/>
  <c r="I6" i="5"/>
  <c r="H14" i="81"/>
  <c r="H15" i="81"/>
  <c r="H11" i="88"/>
  <c r="H10" i="88"/>
  <c r="G19" i="14"/>
  <c r="H16" i="14"/>
  <c r="G18" i="14"/>
  <c r="G20" i="14" s="1"/>
  <c r="H7" i="89"/>
  <c r="H6" i="89"/>
  <c r="G14" i="32"/>
  <c r="G16" i="32" s="1"/>
  <c r="G15" i="32"/>
  <c r="H15" i="47"/>
  <c r="H14" i="47"/>
  <c r="H10" i="80"/>
  <c r="H11" i="80"/>
  <c r="G22" i="84"/>
  <c r="H20" i="84"/>
  <c r="G23" i="84"/>
  <c r="G15" i="64"/>
  <c r="H12" i="64"/>
  <c r="G14" i="64"/>
  <c r="F18" i="11"/>
  <c r="F20" i="11" s="1"/>
  <c r="F19" i="11"/>
  <c r="G16" i="11"/>
  <c r="G19" i="84"/>
  <c r="G18" i="84"/>
  <c r="H16" i="84"/>
  <c r="G19" i="35"/>
  <c r="G18" i="35"/>
  <c r="G20" i="35" s="1"/>
  <c r="H16" i="35"/>
  <c r="H11" i="67"/>
  <c r="H10" i="67"/>
  <c r="I7" i="10"/>
  <c r="I6" i="10"/>
  <c r="J4" i="10"/>
  <c r="H11" i="41"/>
  <c r="H10" i="41"/>
  <c r="H14" i="19"/>
  <c r="H16" i="19" s="1"/>
  <c r="H15" i="19"/>
  <c r="J7" i="14"/>
  <c r="J6" i="14"/>
  <c r="F19" i="3"/>
  <c r="G16" i="3"/>
  <c r="F18" i="3"/>
  <c r="F20" i="3" s="1"/>
  <c r="H10" i="82"/>
  <c r="H11" i="82"/>
  <c r="H6" i="39"/>
  <c r="H7" i="39"/>
  <c r="G20" i="6" l="1"/>
  <c r="H16" i="83"/>
  <c r="G19" i="83"/>
  <c r="G18" i="83"/>
  <c r="F23" i="83"/>
  <c r="G20" i="83"/>
  <c r="F22" i="83"/>
  <c r="H15" i="39"/>
  <c r="H14" i="39"/>
  <c r="H16" i="39" s="1"/>
  <c r="I12" i="10"/>
  <c r="H15" i="10"/>
  <c r="H14" i="10"/>
  <c r="H20" i="10" s="1"/>
  <c r="H19" i="107"/>
  <c r="H18" i="107"/>
  <c r="H20" i="107" s="1"/>
  <c r="J15" i="101"/>
  <c r="J14" i="101"/>
  <c r="J8" i="13"/>
  <c r="I10" i="13"/>
  <c r="I11" i="13"/>
  <c r="G18" i="45"/>
  <c r="G20" i="45" s="1"/>
  <c r="H16" i="45"/>
  <c r="G19" i="45"/>
  <c r="H14" i="8"/>
  <c r="I12" i="8"/>
  <c r="H15" i="8"/>
  <c r="I7" i="6"/>
  <c r="J4" i="6"/>
  <c r="I6" i="6"/>
  <c r="I10" i="11"/>
  <c r="I11" i="11"/>
  <c r="J8" i="11"/>
  <c r="H14" i="96"/>
  <c r="H20" i="96" s="1"/>
  <c r="H15" i="96"/>
  <c r="J4" i="9"/>
  <c r="I6" i="9"/>
  <c r="I7" i="9"/>
  <c r="J4" i="11"/>
  <c r="I6" i="11"/>
  <c r="I7" i="11"/>
  <c r="H14" i="41"/>
  <c r="H15" i="41"/>
  <c r="H15" i="94"/>
  <c r="H14" i="94"/>
  <c r="H15" i="5"/>
  <c r="H14" i="5"/>
  <c r="I12" i="5"/>
  <c r="H16" i="43"/>
  <c r="G19" i="43"/>
  <c r="G18" i="43"/>
  <c r="G20" i="43" s="1"/>
  <c r="J11" i="101"/>
  <c r="J10" i="101"/>
  <c r="J16" i="101" s="1"/>
  <c r="I16" i="71"/>
  <c r="H19" i="71"/>
  <c r="H18" i="71"/>
  <c r="H20" i="71" s="1"/>
  <c r="J12" i="71"/>
  <c r="I15" i="71"/>
  <c r="I14" i="71"/>
  <c r="J7" i="100"/>
  <c r="J6" i="100"/>
  <c r="J12" i="100" s="1"/>
  <c r="I16" i="14"/>
  <c r="H19" i="14"/>
  <c r="H18" i="14"/>
  <c r="H20" i="14" s="1"/>
  <c r="H18" i="46"/>
  <c r="H20" i="46" s="1"/>
  <c r="H19" i="46"/>
  <c r="H16" i="2"/>
  <c r="G19" i="2"/>
  <c r="G18" i="2"/>
  <c r="G20" i="2" s="1"/>
  <c r="J8" i="6"/>
  <c r="I10" i="6"/>
  <c r="I11" i="6"/>
  <c r="H15" i="88"/>
  <c r="H14" i="88"/>
  <c r="H18" i="81"/>
  <c r="H20" i="81" s="1"/>
  <c r="H19" i="81"/>
  <c r="H15" i="79"/>
  <c r="H14" i="79"/>
  <c r="H16" i="36"/>
  <c r="J8" i="71"/>
  <c r="I11" i="71"/>
  <c r="I10" i="71"/>
  <c r="H16" i="38"/>
  <c r="G18" i="38"/>
  <c r="G19" i="38"/>
  <c r="H16" i="89"/>
  <c r="G19" i="89"/>
  <c r="G18" i="89"/>
  <c r="G20" i="89" s="1"/>
  <c r="J12" i="12"/>
  <c r="I15" i="12"/>
  <c r="I14" i="12"/>
  <c r="H16" i="13"/>
  <c r="G19" i="13"/>
  <c r="G18" i="13"/>
  <c r="G19" i="3"/>
  <c r="G18" i="3"/>
  <c r="G20" i="3" s="1"/>
  <c r="H16" i="3"/>
  <c r="H14" i="64"/>
  <c r="H15" i="64"/>
  <c r="H14" i="89"/>
  <c r="H15" i="89"/>
  <c r="I12" i="11"/>
  <c r="H15" i="11"/>
  <c r="H14" i="11"/>
  <c r="J7" i="10"/>
  <c r="J6" i="10"/>
  <c r="H19" i="84"/>
  <c r="H18" i="84"/>
  <c r="H18" i="67"/>
  <c r="H20" i="67" s="1"/>
  <c r="H19" i="67"/>
  <c r="H16" i="1"/>
  <c r="G18" i="1"/>
  <c r="G20" i="1" s="1"/>
  <c r="G19" i="1"/>
  <c r="H19" i="94"/>
  <c r="H18" i="94"/>
  <c r="J7" i="8"/>
  <c r="J6" i="8"/>
  <c r="J7" i="13"/>
  <c r="J6" i="13"/>
  <c r="H15" i="87"/>
  <c r="H14" i="87"/>
  <c r="H16" i="44"/>
  <c r="H19" i="77"/>
  <c r="H18" i="77"/>
  <c r="G19" i="64"/>
  <c r="H16" i="64"/>
  <c r="G18" i="64"/>
  <c r="G20" i="64" s="1"/>
  <c r="H19" i="35"/>
  <c r="H18" i="35"/>
  <c r="H19" i="90"/>
  <c r="H18" i="90"/>
  <c r="H20" i="90" s="1"/>
  <c r="H16" i="47"/>
  <c r="I14" i="3"/>
  <c r="I15" i="3"/>
  <c r="H14" i="86"/>
  <c r="H15" i="86"/>
  <c r="H16" i="79"/>
  <c r="G18" i="15"/>
  <c r="G20" i="15" s="1"/>
  <c r="G19" i="15"/>
  <c r="H16" i="15"/>
  <c r="I10" i="1"/>
  <c r="I11" i="1"/>
  <c r="I16" i="6"/>
  <c r="H19" i="6"/>
  <c r="H18" i="6"/>
  <c r="H14" i="93"/>
  <c r="H15" i="93"/>
  <c r="G18" i="16"/>
  <c r="G20" i="16" s="1"/>
  <c r="H16" i="16"/>
  <c r="G19" i="16"/>
  <c r="H23" i="84"/>
  <c r="H22" i="84"/>
  <c r="H15" i="69"/>
  <c r="H14" i="69"/>
  <c r="I14" i="2"/>
  <c r="I15" i="2"/>
  <c r="I12" i="6"/>
  <c r="H14" i="6"/>
  <c r="H15" i="6"/>
  <c r="H18" i="86"/>
  <c r="H19" i="86"/>
  <c r="H14" i="48"/>
  <c r="H15" i="48"/>
  <c r="J10" i="15"/>
  <c r="J11" i="15"/>
  <c r="G20" i="9"/>
  <c r="G18" i="12"/>
  <c r="G20" i="12" s="1"/>
  <c r="G19" i="12"/>
  <c r="H16" i="12"/>
  <c r="G18" i="11"/>
  <c r="G20" i="11" s="1"/>
  <c r="G19" i="11"/>
  <c r="H16" i="11"/>
  <c r="H18" i="5"/>
  <c r="H20" i="5" s="1"/>
  <c r="H19" i="5"/>
  <c r="I16" i="5"/>
  <c r="H16" i="42"/>
  <c r="G19" i="87"/>
  <c r="H16" i="87"/>
  <c r="G18" i="87"/>
  <c r="G20" i="87" s="1"/>
  <c r="H15" i="84"/>
  <c r="H14" i="84"/>
  <c r="H14" i="18"/>
  <c r="H16" i="18" s="1"/>
  <c r="H15" i="18"/>
  <c r="I10" i="2"/>
  <c r="I11" i="2"/>
  <c r="H18" i="91"/>
  <c r="H19" i="91"/>
  <c r="H20" i="35"/>
  <c r="H14" i="9"/>
  <c r="I12" i="9"/>
  <c r="H15" i="9"/>
  <c r="J15" i="14"/>
  <c r="J14" i="14"/>
  <c r="G20" i="38"/>
  <c r="H15" i="38"/>
  <c r="H14" i="38"/>
  <c r="J10" i="9"/>
  <c r="J11" i="9"/>
  <c r="G20" i="13"/>
  <c r="I12" i="4"/>
  <c r="H14" i="4"/>
  <c r="H15" i="4"/>
  <c r="G19" i="88"/>
  <c r="G18" i="88"/>
  <c r="G20" i="88" s="1"/>
  <c r="H16" i="88"/>
  <c r="H19" i="80"/>
  <c r="H18" i="80"/>
  <c r="H20" i="77"/>
  <c r="I11" i="3"/>
  <c r="I10" i="3"/>
  <c r="I16" i="8"/>
  <c r="H18" i="8"/>
  <c r="H20" i="8" s="1"/>
  <c r="H19" i="8"/>
  <c r="H16" i="93"/>
  <c r="G18" i="93"/>
  <c r="G20" i="93" s="1"/>
  <c r="G19" i="93"/>
  <c r="G20" i="80"/>
  <c r="H20" i="94"/>
  <c r="H14" i="82"/>
  <c r="H15" i="82"/>
  <c r="J6" i="71"/>
  <c r="J7" i="71"/>
  <c r="J16" i="10"/>
  <c r="I18" i="10"/>
  <c r="I19" i="10"/>
  <c r="H16" i="41"/>
  <c r="H19" i="75"/>
  <c r="H18" i="75"/>
  <c r="H20" i="75" s="1"/>
  <c r="H15" i="80"/>
  <c r="H14" i="80"/>
  <c r="G18" i="82"/>
  <c r="G20" i="82" s="1"/>
  <c r="G19" i="82"/>
  <c r="H16" i="82"/>
  <c r="G20" i="91"/>
  <c r="G18" i="4"/>
  <c r="G20" i="4" s="1"/>
  <c r="G19" i="4"/>
  <c r="H16" i="4"/>
  <c r="H19" i="9"/>
  <c r="H18" i="9"/>
  <c r="I16" i="9"/>
  <c r="G18" i="97"/>
  <c r="G20" i="97" s="1"/>
  <c r="H16" i="97"/>
  <c r="G19" i="97"/>
  <c r="H16" i="48"/>
  <c r="H15" i="13"/>
  <c r="H14" i="13"/>
  <c r="I12" i="13"/>
  <c r="I7" i="2"/>
  <c r="I6" i="2"/>
  <c r="I7" i="3"/>
  <c r="I6" i="3"/>
  <c r="J4" i="12"/>
  <c r="I6" i="12"/>
  <c r="I7" i="12"/>
  <c r="H16" i="69"/>
  <c r="H16" i="37"/>
  <c r="H14" i="91"/>
  <c r="H20" i="91" s="1"/>
  <c r="H15" i="91"/>
  <c r="J12" i="10" l="1"/>
  <c r="I14" i="10"/>
  <c r="I20" i="10" s="1"/>
  <c r="I15" i="10"/>
  <c r="H20" i="83"/>
  <c r="G23" i="83"/>
  <c r="G22" i="83"/>
  <c r="H19" i="83"/>
  <c r="H18" i="83"/>
  <c r="I14" i="5"/>
  <c r="I15" i="5"/>
  <c r="J11" i="11"/>
  <c r="J10" i="11"/>
  <c r="I15" i="8"/>
  <c r="J12" i="8"/>
  <c r="I14" i="8"/>
  <c r="J6" i="11"/>
  <c r="J7" i="11"/>
  <c r="H18" i="45"/>
  <c r="H20" i="45" s="1"/>
  <c r="H19" i="45"/>
  <c r="J6" i="9"/>
  <c r="J7" i="9"/>
  <c r="J6" i="6"/>
  <c r="J7" i="6"/>
  <c r="H20" i="9"/>
  <c r="H20" i="6"/>
  <c r="H20" i="80"/>
  <c r="H19" i="43"/>
  <c r="H18" i="43"/>
  <c r="H20" i="43" s="1"/>
  <c r="J10" i="13"/>
  <c r="J11" i="13"/>
  <c r="J16" i="71"/>
  <c r="I19" i="71"/>
  <c r="I18" i="71"/>
  <c r="I20" i="71" s="1"/>
  <c r="J15" i="71"/>
  <c r="J14" i="71"/>
  <c r="I18" i="9"/>
  <c r="I19" i="9"/>
  <c r="J16" i="9"/>
  <c r="H18" i="38"/>
  <c r="H19" i="38"/>
  <c r="H18" i="97"/>
  <c r="H20" i="97" s="1"/>
  <c r="H19" i="97"/>
  <c r="I15" i="4"/>
  <c r="I14" i="4"/>
  <c r="H18" i="82"/>
  <c r="H20" i="82" s="1"/>
  <c r="H19" i="82"/>
  <c r="H19" i="93"/>
  <c r="H18" i="93"/>
  <c r="H20" i="93" s="1"/>
  <c r="H19" i="11"/>
  <c r="I16" i="11"/>
  <c r="H18" i="11"/>
  <c r="H18" i="15"/>
  <c r="H20" i="15" s="1"/>
  <c r="H19" i="15"/>
  <c r="I16" i="15"/>
  <c r="I15" i="11"/>
  <c r="J12" i="11"/>
  <c r="I14" i="11"/>
  <c r="I15" i="13"/>
  <c r="J12" i="13"/>
  <c r="I14" i="13"/>
  <c r="H18" i="88"/>
  <c r="H20" i="88" s="1"/>
  <c r="H19" i="88"/>
  <c r="H18" i="87"/>
  <c r="H20" i="87" s="1"/>
  <c r="H19" i="87"/>
  <c r="J15" i="12"/>
  <c r="J14" i="12"/>
  <c r="J10" i="6"/>
  <c r="J11" i="6"/>
  <c r="J16" i="14"/>
  <c r="I19" i="14"/>
  <c r="I18" i="14"/>
  <c r="I20" i="14" s="1"/>
  <c r="H18" i="12"/>
  <c r="H20" i="12" s="1"/>
  <c r="H19" i="12"/>
  <c r="I16" i="12"/>
  <c r="J10" i="71"/>
  <c r="J11" i="71"/>
  <c r="H19" i="4"/>
  <c r="H18" i="4"/>
  <c r="H20" i="4" s="1"/>
  <c r="I16" i="4"/>
  <c r="I15" i="9"/>
  <c r="J12" i="9"/>
  <c r="I14" i="9"/>
  <c r="I18" i="5"/>
  <c r="I20" i="5" s="1"/>
  <c r="I19" i="5"/>
  <c r="I18" i="6"/>
  <c r="J16" i="6"/>
  <c r="I19" i="6"/>
  <c r="H18" i="64"/>
  <c r="H20" i="64" s="1"/>
  <c r="H19" i="64"/>
  <c r="H19" i="89"/>
  <c r="H18" i="89"/>
  <c r="H20" i="89" s="1"/>
  <c r="I16" i="2"/>
  <c r="H19" i="2"/>
  <c r="H18" i="2"/>
  <c r="H20" i="2" s="1"/>
  <c r="H20" i="86"/>
  <c r="H18" i="3"/>
  <c r="H20" i="3" s="1"/>
  <c r="I16" i="3"/>
  <c r="H19" i="3"/>
  <c r="H19" i="13"/>
  <c r="H18" i="13"/>
  <c r="H20" i="13" s="1"/>
  <c r="I16" i="13"/>
  <c r="J6" i="12"/>
  <c r="J7" i="12"/>
  <c r="J19" i="10"/>
  <c r="J18" i="10"/>
  <c r="I19" i="8"/>
  <c r="I18" i="8"/>
  <c r="J16" i="8"/>
  <c r="H20" i="38"/>
  <c r="I15" i="6"/>
  <c r="I14" i="6"/>
  <c r="I20" i="6" s="1"/>
  <c r="J12" i="6"/>
  <c r="H18" i="16"/>
  <c r="H20" i="16" s="1"/>
  <c r="H19" i="16"/>
  <c r="I16" i="1"/>
  <c r="H19" i="1"/>
  <c r="H18" i="1"/>
  <c r="H20" i="1" s="1"/>
  <c r="H20" i="11"/>
  <c r="H22" i="83" l="1"/>
  <c r="H23" i="83"/>
  <c r="J15" i="10"/>
  <c r="J14" i="10"/>
  <c r="J20" i="10" s="1"/>
  <c r="J14" i="8"/>
  <c r="J15" i="8"/>
  <c r="I20" i="8"/>
  <c r="J19" i="71"/>
  <c r="J18" i="71"/>
  <c r="J20" i="71" s="1"/>
  <c r="I19" i="4"/>
  <c r="I18" i="4"/>
  <c r="I18" i="3"/>
  <c r="I20" i="3" s="1"/>
  <c r="I19" i="3"/>
  <c r="I18" i="2"/>
  <c r="I20" i="2" s="1"/>
  <c r="I19" i="2"/>
  <c r="I18" i="11"/>
  <c r="I20" i="11" s="1"/>
  <c r="J16" i="11"/>
  <c r="I19" i="11"/>
  <c r="J14" i="6"/>
  <c r="J15" i="6"/>
  <c r="J14" i="11"/>
  <c r="J15" i="11"/>
  <c r="J19" i="9"/>
  <c r="J18" i="9"/>
  <c r="J19" i="14"/>
  <c r="J18" i="14"/>
  <c r="J20" i="14" s="1"/>
  <c r="I19" i="13"/>
  <c r="J16" i="13"/>
  <c r="I18" i="13"/>
  <c r="I20" i="9"/>
  <c r="I18" i="15"/>
  <c r="I20" i="15" s="1"/>
  <c r="I19" i="15"/>
  <c r="J16" i="15"/>
  <c r="J15" i="13"/>
  <c r="J14" i="13"/>
  <c r="I20" i="13"/>
  <c r="J18" i="8"/>
  <c r="J20" i="8" s="1"/>
  <c r="J19" i="8"/>
  <c r="J14" i="9"/>
  <c r="J20" i="9" s="1"/>
  <c r="J15" i="9"/>
  <c r="I19" i="12"/>
  <c r="J16" i="12"/>
  <c r="I18" i="12"/>
  <c r="I20" i="12" s="1"/>
  <c r="I18" i="1"/>
  <c r="I20" i="1" s="1"/>
  <c r="I19" i="1"/>
  <c r="J18" i="6"/>
  <c r="J19" i="6"/>
  <c r="I20" i="4"/>
  <c r="J20" i="6" l="1"/>
  <c r="J18" i="12"/>
  <c r="J20" i="12" s="1"/>
  <c r="J19" i="12"/>
  <c r="J19" i="15"/>
  <c r="J18" i="15"/>
  <c r="J20" i="15" s="1"/>
  <c r="J19" i="13"/>
  <c r="J18" i="13"/>
  <c r="J20" i="13" s="1"/>
  <c r="J18" i="11"/>
  <c r="J20" i="11" s="1"/>
  <c r="J19" i="11"/>
</calcChain>
</file>

<file path=xl/sharedStrings.xml><?xml version="1.0" encoding="utf-8"?>
<sst xmlns="http://schemas.openxmlformats.org/spreadsheetml/2006/main" count="4423" uniqueCount="389">
  <si>
    <t>B.Tech Computer Science and Engineering (RQ)</t>
  </si>
  <si>
    <t>Fee Structure Applicable for Intake 2026 
B.Tech CSE (RQ)</t>
  </si>
  <si>
    <t xml:space="preserve">Sem </t>
  </si>
  <si>
    <t>Heads</t>
  </si>
  <si>
    <t>(12th PCM %)
&gt;=95 OR JEE Mains %ile &gt;=99 or CUET NTA Score avg&gt;=237.5</t>
  </si>
  <si>
    <t>(12th PCM %)
&gt;=92.5 &amp; &lt;=94.99 OR JEE Mains %ile &gt;=98.5 &amp; &lt;99  or CUET  NTA Score avg&gt;=231.25 &amp; &lt;237.5</t>
  </si>
  <si>
    <t>(12th PCM %)
&gt;=90 &amp; &lt;=92.49 OR JEE Mains %ile &gt;=97 &amp; &lt;98.5  or CUET  NTA Score avg &gt;= 225 &amp; &lt; 231.2</t>
  </si>
  <si>
    <t>(12th PCM %)
&gt;=87.5 &amp; &lt;=89.99 OR JEE Mains %ile &gt;=94 &amp; &lt;97  or CUET NTA Score avg &gt;=218.75 &amp; &lt;225</t>
  </si>
  <si>
    <t>(12th PCM %)
&gt;=85 &amp; &lt;=87.49 OR JEE Mains %ile &gt;=92 &amp; &lt;94  or CUET NTA Score avg &gt;=212.5 &amp; &lt; 218.75</t>
  </si>
  <si>
    <t>(12th PCM %)
&gt;=80 &amp; &lt;=84.99 OR JEE Mains %ile &gt;=90 &amp; &lt;92  or CUET NTA Score avg &gt;=200 &amp; &lt; 212.5</t>
  </si>
  <si>
    <t>(12th PCM %)
&gt;=75 &amp; &lt;=79.99 OR JEE Mains %ile &gt;=85 &amp; &lt;90 or CUET NTA Score avg &gt;=187.5 &amp; &lt; 200</t>
  </si>
  <si>
    <r>
      <rPr>
        <b/>
        <sz val="9"/>
        <color theme="1"/>
        <rFont val="Roboto"/>
      </rPr>
      <t>1</t>
    </r>
    <r>
      <rPr>
        <b/>
        <vertAlign val="superscript"/>
        <sz val="9"/>
        <color theme="1"/>
        <rFont val="Roboto"/>
      </rPr>
      <t>st</t>
    </r>
    <r>
      <rPr>
        <b/>
        <sz val="9"/>
        <color theme="1"/>
        <rFont val="Roboto"/>
      </rPr>
      <t xml:space="preserve"> Year
Payment Options</t>
    </r>
  </si>
  <si>
    <t>Tuition Fee Per Semester</t>
  </si>
  <si>
    <t xml:space="preserve">Scholarship </t>
  </si>
  <si>
    <t>Yearly Payment  (5% Discount)</t>
  </si>
  <si>
    <t>Half Yearly Payment</t>
  </si>
  <si>
    <t>2nd Year
Payment Options</t>
  </si>
  <si>
    <t xml:space="preserve"> 3rd Year
Payment Options</t>
  </si>
  <si>
    <t>4th Year
Payment Options</t>
  </si>
  <si>
    <t>Total Fee (Per Year Installment)</t>
  </si>
  <si>
    <t>One Time Payable</t>
  </si>
  <si>
    <t>Admission Fee</t>
  </si>
  <si>
    <t>Enrolment Fee</t>
  </si>
  <si>
    <t>Caution Money (Refundable)</t>
  </si>
  <si>
    <t>Other Charges^</t>
  </si>
  <si>
    <t xml:space="preserve">Yearly Payment </t>
  </si>
  <si>
    <t xml:space="preserve">Half Yearly Payment </t>
  </si>
  <si>
    <t>Scholarship for Wards of Defence personnel: 5%</t>
  </si>
  <si>
    <t>25%  of all seats are available for scholarship, schorlarship will be given on first come first serve basis.</t>
  </si>
  <si>
    <t xml:space="preserve">^ Includes Examination, Library, Insurance, Student Welfare, Sports, Online student info, PDP etc) </t>
  </si>
  <si>
    <t>10% Additional Scholarship on Net Tuition Fee for Girls Candidates</t>
  </si>
  <si>
    <t>B.Tech Computer Science and Engineering</t>
  </si>
  <si>
    <t xml:space="preserve">Fee Structure Applicable for Intake 2026 
B.Tech CSE || B.Tech CSE with specialization in Cyber Security || B.Tech CSE with specialization in Machine Learning &amp; Artificial Intelligence || B.Tech CSE with specialization in Artificial Intelligence &amp; Data Science </t>
  </si>
  <si>
    <t>B.Tech Computer Science and Engineering (Cybersecurity)</t>
  </si>
  <si>
    <t xml:space="preserve">Fee Structure Applicable for Intake 2026                                                                                                                                             B.Tech CSE (Cybersecurity)         </t>
  </si>
  <si>
    <t>B.Tech Computer Science and Engineering (Artificial Intelligence &amp; Data Science)</t>
  </si>
  <si>
    <t xml:space="preserve">Fee Structure Applicable for Intake 2026                                                                                                                                                       B.Tech CSE (AI &amp; DS)           
</t>
  </si>
  <si>
    <t xml:space="preserve">B.Tech Computer Science and Engineering (Machine Learning &amp; Artificial Intelligence) </t>
  </si>
  <si>
    <t xml:space="preserve">Fee Structure Applicable for Intake 2026                                                                                                                                                   B.Tech CSE (ML &amp; AI)                 </t>
  </si>
  <si>
    <t>B.Tech Biotechnology</t>
  </si>
  <si>
    <t xml:space="preserve">Fee Structure Applicable for Intake 2026                                                                                                                                                                                    B.Tech Biotech                       
</t>
  </si>
  <si>
    <t>(12th PCB %)
&gt;=95 OR JEE Mains Percentile &gt;=99 OR CUET NTA Score avg&gt;=178</t>
  </si>
  <si>
    <t>(12th  PCB %)
&gt;=90
&lt;95 OR JEE Mains Percentile &gt;=98.5&lt;99 OR CUET  NTA Score avg&gt;=168.75 &amp; &lt;178</t>
  </si>
  <si>
    <t>(12th  PCB %)
&gt;=85
&lt;90 OR JEE Mains Percentile &gt;=97&lt;98.5 OR CUET  NTA Score avg&gt;=159.37 &amp; &lt;168.7</t>
  </si>
  <si>
    <t>(12th  PCB %)
&gt;=80
&lt;85 OR JEE Mains Percentile &gt;=94&lt;97 OR CUET  NTA Score avg&gt;= 150 &amp; &lt;159.3</t>
  </si>
  <si>
    <t>(12th  PCB %)
&gt;=75
&lt;80 OR JEE Mains Percentile &gt;=92&lt;94 OR CUET  NTA Score avg&gt;=140.625 &amp; &lt;150</t>
  </si>
  <si>
    <t>(12th  PCB %)
&gt;=70
&lt;75 OR JEE Mains Percentile &gt;=90&lt;92 OR CUET  NTA Score avg&gt;=131.25 &amp; &lt;140.625</t>
  </si>
  <si>
    <t>(12th  PCB %)
&gt;=65
&lt;70 OR JEE Mains Percentile &gt;=85&lt;90 OR CUET  NTA Score avg&gt;=121.87 &amp; &lt;131.25</t>
  </si>
  <si>
    <t>(12th  PCB %)
&gt;=60
&lt;65 OR JEE Mains Percentile &gt;=80&lt;85 OR CUET  NTA Score avg&gt;=112.5 &amp; &lt;121.8</t>
  </si>
  <si>
    <t>B.Tech Civil Engineering (Working Professional)</t>
  </si>
  <si>
    <t>Fee Structure Applicable for Intake 2026
B.Tech Civil Engineering (Working Professional)</t>
  </si>
  <si>
    <t xml:space="preserve">  </t>
  </si>
  <si>
    <t>All Candidates</t>
  </si>
  <si>
    <t>3rd Sem</t>
  </si>
  <si>
    <t>4th Sem</t>
  </si>
  <si>
    <t>5th Sem</t>
  </si>
  <si>
    <t>6th Sem</t>
  </si>
  <si>
    <t>7th Sem</t>
  </si>
  <si>
    <t>8th Sem</t>
  </si>
  <si>
    <t>Total Fee</t>
  </si>
  <si>
    <t>Fee structure is 2nd year onwards as Working professional will take admission through later entry</t>
  </si>
  <si>
    <t>B.Tech Electronics &amp; Communication Engineering (Working Professional)</t>
  </si>
  <si>
    <t>Fee Structure Applicable for Intake 2026
B.Tech Electronics &amp; Communication Engineering (Working Professional)</t>
  </si>
  <si>
    <t>(12th PCM %)
&gt;=95 OR JEE Mains Percentile &gt;=99</t>
  </si>
  <si>
    <t xml:space="preserve">Special Scholarship </t>
  </si>
  <si>
    <t>B.Tech in Electronics Engineering (VLSI Design and Technology)</t>
  </si>
  <si>
    <t>Fee Structure Applicable for Intake 2026
B.Tech in Electronics Engineering (VLSI Design and Technology)</t>
  </si>
  <si>
    <t>(12th PCM %)
&gt;=95 OR JEE Mains Percentile &gt;=99 OR CUET NTA Score avg&gt;=178</t>
  </si>
  <si>
    <t>(12th  PCM %)
&gt;=90
&lt;95 OR JEE Mains Percentile &gt;=98.5&lt;99 OR CUET  NTA Score avg&gt;=168.75 &amp; &lt;178</t>
  </si>
  <si>
    <t>(12th  PCM %)
&gt;=85
&lt;90 OR JEE Mains Percentile &gt;=97&lt;98.5 OR CUET  NTA Score avg&gt;=159.37 &amp; &lt;168.7</t>
  </si>
  <si>
    <t>(12th  PCM %)
&gt;=80
&lt;85 OR JEE Mains Percentile &gt;=94&lt;97 OR CUET  NTA Score avg&gt;= 150 &amp; &lt;159.3</t>
  </si>
  <si>
    <t>(12th  PCM %)
&gt;=75
&lt;80 OR JEE Mains Percentile &gt;=92&lt;94 OR CUET  NTA Score avg&gt;=140.625 &amp; &lt;150</t>
  </si>
  <si>
    <t>(12th  PCM %)
&gt;=70
&lt;75 OR JEE Mains Percentile &gt;=90&lt;92 OR CUET  NTA Score avg&gt;=131.25 &amp; &lt;140.625</t>
  </si>
  <si>
    <t>(12th  PCM %)
&gt;=65
&lt;70 OR JEE Mains Percentile &gt;=85&lt;90 OR CUET  NTA Score avg&gt;=121.87 &amp; &lt;131.25</t>
  </si>
  <si>
    <t>(12th  PCM %)
&gt;=60
&lt;65 OR JEE Mains Percentile &gt;=80&lt;85 OR CUET  NTA Score avg&gt;=112.5 &amp; &lt;121.8</t>
  </si>
  <si>
    <t>B.Tech Electronics &amp; Communication Engineering</t>
  </si>
  <si>
    <t>Fee Structure Applicable for Intake 2026
B.Tech Electronics &amp; Communication Engineering || B.Tech Electronics &amp; Communication Engineering (Hons.) with Specilizatin in Systems &amp; Robotics || B.Tech Electronics &amp; Communication Engineering (Hons.) with Sepcialization in Internet of Things</t>
  </si>
  <si>
    <t>B.Tech Civil Engineering</t>
  </si>
  <si>
    <t>Fee Structure Applicable for Intake 2026                                                                                                                                           B.Tech Civil</t>
  </si>
  <si>
    <t>B.Tech Aerospace Engineering</t>
  </si>
  <si>
    <t>Fee Structure Applicable for Intake 2026
B.Tech Aerospace</t>
  </si>
  <si>
    <t>B.Tech Mechanical Engineering (Hons) Automobile</t>
  </si>
  <si>
    <t xml:space="preserve">Fee Structure Applicable for Intake 2026  </t>
  </si>
  <si>
    <t>B.Tech Mechanical Engineering (Hons) Robotics and Automation</t>
  </si>
  <si>
    <t xml:space="preserve">Fee Structure Applicable for Intake 2026                                                                                                                                        B.Tech ME (Hons.) Robotics &amp; Automation                                                                                                           </t>
  </si>
  <si>
    <t>B.Tech Mechanical Engineering</t>
  </si>
  <si>
    <t>Fee Structure Applicable for Intake 2026                                                                                                                                B.Tech Mechanical Engineering || B.Tech Mechanical Engineering with minor specialization in Aerospace Engineering || B.Tech Mechanical Engineering with minor specialization in Computer Science</t>
  </si>
  <si>
    <t>B.Tech Electrical And Computer Engineering</t>
  </si>
  <si>
    <t>Fee Structure Applicable for Intake 2026
B.Tech Electrical and Computer Engineering || B.Tech Electrical Engineering with specialization in Electrical Vehicle</t>
  </si>
  <si>
    <t xml:space="preserve"> Bachelor of Business Administration (Hons.)</t>
  </si>
  <si>
    <t>Fee Structure Applicable for Intake 2026
BBA (Hons.) || Bachelor of Business Administration International Finance &amp; Accounting with ACCA || Bachelor of Business Administration (Hons.) International Finance &amp; Accounting with ACCA || Bachelor of Business Administration with Specialization in Entrepreneurship || Bachelor of Business Administration with Specialization in Hospital Administration || Bachelor of Business Administration with Specialization in Aviation Management || Bachelor of Business Administration with Specialization in Artificial Intelligence &amp; Data Science || Bachelor of Business Administration with Specialization in E-Commerce &amp; Digital Marketing</t>
  </si>
  <si>
    <t>(12th Agg. %) &gt;=95  OR CUET NTA Score avg&gt;=178</t>
  </si>
  <si>
    <t>(12th  Agg. %) &gt;=90 and &lt;95 OR CUET  NTA Score avg&gt;=168.75 &amp; &lt;178</t>
  </si>
  <si>
    <t>(12th  Agg. %) &gt;=85 and &lt;90 OR CUET  NTA Score avg&gt;=159.37 &amp; &lt;168.7</t>
  </si>
  <si>
    <t>(12th  Agg. %) &gt;=80 and &lt;85 OR CUET  NTA Score avg&gt;= 150 &amp; &lt;159.3</t>
  </si>
  <si>
    <t>(12th Agg. %) &gt;=75 and &lt;80 OR CUET  NTA Score avg&gt;=140.625 &amp; &lt;150</t>
  </si>
  <si>
    <t>(12th Agg. %)&gt;=70 &amp; &lt;75  OR CUET  NTA Score avg&gt;=131.25 &amp; &lt;140.625</t>
  </si>
  <si>
    <t xml:space="preserve"> 4th Year
Payment Options</t>
  </si>
  <si>
    <t>** An additional fee of Rs. 22000/- is applicable per semester from 1st semester onwards for ACCA.</t>
  </si>
  <si>
    <t xml:space="preserve"> Bachelor of Business Administration with Fintech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</si>
  <si>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 with specialization in Financial Technology*</t>
  </si>
  <si>
    <t xml:space="preserve">* An additional fee of Rs. 15000/- is applicable per semester for EY industry integrated program						"							</t>
  </si>
  <si>
    <t xml:space="preserve"> Bachelor of Business Administration in Finance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</si>
  <si>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 in Finance</t>
  </si>
  <si>
    <t>BBA with Business Analytics (Industry Partner Grant Thornton)*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</si>
  <si>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 with Business Analytics (Industry Partner Grant Thornton)*</t>
  </si>
  <si>
    <t xml:space="preserve">* An additional fee of Rs. 15000/- is applicable per semester for industry integration program.						</t>
  </si>
  <si>
    <t xml:space="preserve"> Bachelor of Business Administration in Event Management and PR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</si>
  <si>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  in Event Management and PR</t>
  </si>
  <si>
    <t xml:space="preserve"> Bachelor of Business Administration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</si>
  <si>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BBA</t>
  </si>
  <si>
    <t>BBA Entrepreneurship</t>
  </si>
  <si>
    <t>Fee Structure Applicable for Intake 2026</t>
  </si>
  <si>
    <t>Master of Arts Physiotherapy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</si>
  <si>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Physiotherapy</t>
  </si>
  <si>
    <t>Graduation &gt;=95</t>
  </si>
  <si>
    <t>Graduation  &gt;=90 and &lt;95</t>
  </si>
  <si>
    <t>Graduation  &gt;=85 and &lt;90</t>
  </si>
  <si>
    <t>Graduation &gt;=80 and &lt;85</t>
  </si>
  <si>
    <t>Graduation &gt;=75 and &lt;80</t>
  </si>
  <si>
    <t>Master of Arts Economics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</si>
  <si>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 Economics</t>
  </si>
  <si>
    <t>Bachelor of Science in Agriculture (Hons.)</t>
  </si>
  <si>
    <t>Fee Structure Applicable for Intake 2026
Bachelor of Science in Agriculture (Hons.)</t>
  </si>
  <si>
    <t>(12th Aggr %)
&gt;=95 OR CUET Percentile &gt;=99</t>
  </si>
  <si>
    <t>(12th Aggr %)
&gt;=90
&amp; &lt;95 OR CUET Percentile &gt;=98.5&lt;99</t>
  </si>
  <si>
    <t>(12th Aggr %)
&gt;=85 &amp; 
&lt;90 OR CUET Percentile &gt;=97&lt;98.5</t>
  </si>
  <si>
    <t>(12th Aggr %)
&gt;=80 &amp; 
&lt;85 OR CUET Percentile &gt;=94&lt;97</t>
  </si>
  <si>
    <t>(12th Aggr %)
&gt;=75 &amp;
&lt;80 OR CUET Percentile &gt;=90&lt;94</t>
  </si>
  <si>
    <t>( 12th Aggr %)
&gt;=70 &amp; &lt;75 OR CUET Percentile &gt;=85&lt;90</t>
  </si>
  <si>
    <t>(12th Aggr %)
&gt;=65 &amp; &lt;70</t>
  </si>
  <si>
    <t>Master of Arts English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</si>
  <si>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 English</t>
  </si>
  <si>
    <t>Master of Arts Psychology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</si>
  <si>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Psychology</t>
  </si>
  <si>
    <t>Master of Arts Sociology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</si>
  <si>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Sociology</t>
  </si>
  <si>
    <t>Master of Arts Political Science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</si>
  <si>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 Political Science</t>
  </si>
  <si>
    <t>Master of Hotel Management</t>
  </si>
  <si>
    <t>Fee Structure Applicable for Intake 2026  
MHM</t>
  </si>
  <si>
    <t>Bachelors of Physiotherapy</t>
  </si>
  <si>
    <t>Fee Structure Applicable for Intake 2026  
BPT</t>
  </si>
  <si>
    <t>(12th Agg. %) &gt;=95</t>
  </si>
  <si>
    <t>(12th  Agg. %) &gt;=90 and &lt;95</t>
  </si>
  <si>
    <t>(12th  Agg. %) &gt;=85 and &lt;90</t>
  </si>
  <si>
    <t>(12th  Agg. %) &gt;=80 and &lt;85</t>
  </si>
  <si>
    <t>(12th Agg. %) &gt;=75 and &lt;80</t>
  </si>
  <si>
    <t xml:space="preserve">Bachelor of Medical Laboratory Technology </t>
  </si>
  <si>
    <t xml:space="preserve">Fee Structure Applicable for Intake 2026  
BMLT
</t>
  </si>
  <si>
    <t xml:space="preserve">Bachelor in Medical Radio Imaging Technology </t>
  </si>
  <si>
    <t>Fee Structure Applicable for Intake 2026  
BMRIT</t>
  </si>
  <si>
    <t>Bachelor of Science Medical Microbiology</t>
  </si>
  <si>
    <t>Fee Structure Applicable for Intake 2026 
B.Sc Medical Microbiology</t>
  </si>
  <si>
    <t>Bachelor of Science Operation Theatre</t>
  </si>
  <si>
    <t>Fee Structure Applicable for Intake 2026 
B.Sc OT</t>
  </si>
  <si>
    <t>Master of Science Food Technology</t>
  </si>
  <si>
    <t>Fee Structure Applicable for Intake 2026 
M.Sc Food Technology</t>
  </si>
  <si>
    <t>Graduation % &gt;=80</t>
  </si>
  <si>
    <t>Graduation % &gt;=75 and  &lt;80</t>
  </si>
  <si>
    <t>Graduation % &gt;=70 and  &lt;75</t>
  </si>
  <si>
    <t>Graduation % &gt;=65 and &lt;70</t>
  </si>
  <si>
    <t>Graduation % &lt;65</t>
  </si>
  <si>
    <t>Bachelor of Science Food Technology</t>
  </si>
  <si>
    <t>Fee Structure Applicable for Intake 2026 
B.Sc  Food Technology</t>
  </si>
  <si>
    <t>(12th Agg. %)&gt;=70 &amp; &lt;75</t>
  </si>
  <si>
    <t xml:space="preserve">Quarterly Payment </t>
  </si>
  <si>
    <t>Bachelor of Science (Hons.) Food Technology</t>
  </si>
  <si>
    <t>Fee Structure Applicable for Intake 2026 
B.Sc  (Hons.) Food Technology</t>
  </si>
  <si>
    <t xml:space="preserve"> Bachelor of Science Optometry</t>
  </si>
  <si>
    <t>Fee Structure Applicable for Intake 2026 
B.Sc Optometry</t>
  </si>
  <si>
    <t xml:space="preserve">Bachelor of Computer Application in Cyber Security </t>
  </si>
  <si>
    <t>Fee Structure Applicable for Intake 2026 
BCA Cyber Security</t>
  </si>
  <si>
    <t>Rs. 5000/- sem for first 2 semesters are applicable for bridge course</t>
  </si>
  <si>
    <t>Bachelor of Computer Applications in Artificial Intelligence &amp; Data Science with Research</t>
  </si>
  <si>
    <t>Fee Structure Applicable for Intake 2026 
BCA in Artificial Intelligence &amp; Data Science with Research</t>
  </si>
  <si>
    <t>Bachelor of Computer Applications in Artificial Intelligence &amp; Data Science</t>
  </si>
  <si>
    <t>Fee Structure Applicable for Intake 2026 
BCA in Artificial Intelligence &amp; Data Science</t>
  </si>
  <si>
    <t>Bachelor of Computer Application</t>
  </si>
  <si>
    <t>Fee Structure Applicable for Intake 2026 
BCA</t>
  </si>
  <si>
    <t>Bachelor of Computer Application Industry Integrated</t>
  </si>
  <si>
    <t>Fee Structure Applicable for Intake 2026 
BCA Industry Integrated</t>
  </si>
  <si>
    <t>* An additional fee of Rs. 10000/- is applicable per semester.</t>
  </si>
  <si>
    <t>Bachelor of Arts Psychology</t>
  </si>
  <si>
    <t>Fee Structure Applicable for Intake 2026 
BA Psychology</t>
  </si>
  <si>
    <t>Bachelor of Arts (Hons.) Psychology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</si>
  <si>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 (Hons.) Psychology</t>
  </si>
  <si>
    <t>Bachelor of Science Forensic Science</t>
  </si>
  <si>
    <t>Fee Structure Applicable for Intake 2026 
B.Sc Forensic Science</t>
  </si>
  <si>
    <t>Bachelor of Arts Economics</t>
  </si>
  <si>
    <t>Fee Structure Applicable for Intake 2026                                                                                                                                                                                                                                             BA Economics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 (Hon. *) Economics with Research</t>
  </si>
  <si>
    <t xml:space="preserve"> 4th Year*
Payment Options</t>
  </si>
  <si>
    <t>Bachelor of Arts (Hons.) Political Science with Research</t>
  </si>
  <si>
    <t>Fee Structure Applicable for Intake 2026 
BA (Hons.) Political Science with Research</t>
  </si>
  <si>
    <t>Bachelor of Arts (Hons.) Political Science</t>
  </si>
  <si>
    <t>Fee Structure Applicable for Intake 2026 
BA (Hons.) Political Science</t>
  </si>
  <si>
    <t>Bachelor of Arts English</t>
  </si>
  <si>
    <t>Fee Structure Applicable for Intake 2026 
BA English</t>
  </si>
  <si>
    <t xml:space="preserve"> M.Tech Computer Science &amp; Engineering</t>
  </si>
  <si>
    <t>Fee Structure Applicable for Intake 2026 
 M.Tech  CSE</t>
  </si>
  <si>
    <t>Certificate Course in Hotel Operations</t>
  </si>
  <si>
    <t>Fee Structure Applicable for Intake 2026 
CCHO</t>
  </si>
  <si>
    <r>
      <rPr>
        <b/>
        <sz val="9"/>
        <color rgb="FF000000"/>
        <rFont val="Roboto"/>
      </rPr>
      <t>1</t>
    </r>
    <r>
      <rPr>
        <b/>
        <vertAlign val="superscript"/>
        <sz val="9"/>
        <color rgb="FF000000"/>
        <rFont val="Roboto"/>
      </rPr>
      <t>st</t>
    </r>
    <r>
      <rPr>
        <b/>
        <sz val="9"/>
        <color rgb="FF000000"/>
        <rFont val="Roboto"/>
      </rPr>
      <t xml:space="preserve"> Year
Payment Options</t>
    </r>
  </si>
  <si>
    <t>Certificate Fee</t>
  </si>
  <si>
    <t xml:space="preserve">Alumni Fee </t>
  </si>
  <si>
    <t>Tool Kit Fee</t>
  </si>
  <si>
    <t>Master of Science Biotechnology</t>
  </si>
  <si>
    <t>Fee Structure Applicable for Intake 2026 
M.Sc Biotechnology</t>
  </si>
  <si>
    <t>Graduation % &gt;=70 and &lt;65</t>
  </si>
  <si>
    <t xml:space="preserve">Master of Science Environmental Science </t>
  </si>
  <si>
    <t xml:space="preserve">Fee Structure Applicable for Intake 2026 
M.Sc Environmental Science </t>
  </si>
  <si>
    <t xml:space="preserve">Master of Science Applied Geology </t>
  </si>
  <si>
    <t xml:space="preserve">Fee Structure Applicable for Intake 2026 
M.Sc Applied Geology </t>
  </si>
  <si>
    <t>Master of Science Microbiology</t>
  </si>
  <si>
    <t>Fee Structure Applicable for Intake 2026 
 M.Sc Microbiology</t>
  </si>
  <si>
    <t>Master of Science Food and Nutrition</t>
  </si>
  <si>
    <t>Fee Structure Applicable for Intake 2026 
 M.Sc Food and Nutrition</t>
  </si>
  <si>
    <t>Master of Science Bio Chemistry</t>
  </si>
  <si>
    <t>Fee Structure Applicable for Intake 2026 
 M.Sc Bio Chemistry</t>
  </si>
  <si>
    <t>Master of Science Chemistry</t>
  </si>
  <si>
    <t>Fee Structure Applicable for Intake 2025 
M.Sc. Chemistry (Organic / Inorganic / Physical)</t>
  </si>
  <si>
    <t>Master of Technology Electric Vehicle Technology</t>
  </si>
  <si>
    <t>Fee Structure Applicable for Intake 2026 
M.Tech Electric Vehicle Technology</t>
  </si>
  <si>
    <t>Master of Technology Structural Engineering</t>
  </si>
  <si>
    <t>Fee Structure Applicable for Intake 2026 
M.Tech Structural Engineering</t>
  </si>
  <si>
    <t>Master of Technology CAD/CAM</t>
  </si>
  <si>
    <t>Fee Structure Applicable for Intake 2026 
M.Tech CAD/CAM</t>
  </si>
  <si>
    <t>Master of Technology Geo-Informatics</t>
  </si>
  <si>
    <t>Fee Structure Applicable for Intake 2026 
M.Tech Geo-Informatics</t>
  </si>
  <si>
    <t>Master of Technolgy Biotechnology Engineering</t>
  </si>
  <si>
    <t>Fee Structure Applicable for Intake 2026 
M.Tech Biotechnology Engineering</t>
  </si>
  <si>
    <t>Master of Technolgy VLSI System Design</t>
  </si>
  <si>
    <t>Fee Structure Applicable for Intake 2026 
M.Tech VLSI System Design</t>
  </si>
  <si>
    <t>Bachelor of Science (Hons.) Nutrition and Dietetics</t>
  </si>
  <si>
    <t>Fee Structure Applicable for Intake 2026 
B.Sc. (Hons.) Nutrition and Dietetics</t>
  </si>
  <si>
    <t xml:space="preserve"> 4th Year* (For Nutrition and Dietetics only)
Payment Options</t>
  </si>
  <si>
    <t>Master of Business Administration (MBA) with Business Analytics (Industry Partner Grant Thornton)</t>
  </si>
  <si>
    <t>Fee Structure Applicable for Intake 2026 
Master of Business Administration with Business Analytics (Industry Partner Grant Thornton*)</t>
  </si>
  <si>
    <t>Graduation % &gt;=95 or CAT/XAT %ile &gt;=85.01  or MAT/CMAT %ile &gt;=99</t>
  </si>
  <si>
    <t>Graduation % &gt;=90 and  &lt;95 or CAT/XAT %ile 80.01 - 85.00  or MAT/CMAT %ile 95.01 - 99</t>
  </si>
  <si>
    <t>Graduation % &gt;=85 and  &lt;90 or CAT/XAT %ile 75.01 - 80.00  or MAT/CMAT %ile 93.01 - 95</t>
  </si>
  <si>
    <t>Graduation % &gt;=80 and &lt;85 or CAT/XAT %ile 70.01 - 75  or MAT/CMAT %ile 90.01 - 93</t>
  </si>
  <si>
    <t>Graduation % &gt;=75 and &lt;80 or CAT/XAT %ile 65.01 - 70.00  or MAT/CMAT %ile 85 - 90</t>
  </si>
  <si>
    <t>Graduation %&gt;=70 &amp;&amp; % &lt; 75 or CAT/XAT %ile 60 - 65.00</t>
  </si>
  <si>
    <t xml:space="preserve">Tuition Fee (Half Yearly) </t>
  </si>
  <si>
    <t>Alumni Scholarships</t>
  </si>
  <si>
    <t xml:space="preserve">* An additional fee of Rs. 20000/- is applicable per semester for industry integration program.							</t>
  </si>
  <si>
    <t>Global immersion program fee of Rs. 35,000 will be extra per sem (Rs. 70,000 per year)</t>
  </si>
  <si>
    <t>Master of Business Administration (MBA)</t>
  </si>
  <si>
    <t>Fee Structure Applicable for Intake 2026 
Master of Business Administration ||
Master of Business Administration with Specialisation in Hospital Administration || Master of Business Administration with Specialisation in Aviation Mangement || Master of Business Administration with Specialisation in Marketing || Master of Business Administration with Specialisation in Finance || Master of Business Administration with Specialisation in Human Resource || Master of Business Administration with Specialisation in Business Analytics || Master of Business Administration with Specialisation in Logistic and Supply Chain Management || Master of Business Administration with Specialisation in Banking and Finance || Master of Business Administration with Specialisation in Branding and Advertising || Master of Business Administration with Specialisation in Digital Marketing || Master of Business Administration with Specialisation in International Business || Master of Business Administration with Specialisation in Retail Management || Master of Business Administration with Specialisation in Enterpreneurship</t>
  </si>
  <si>
    <t xml:space="preserve">Master of Business Administration IMPACT </t>
  </si>
  <si>
    <t xml:space="preserve">Fee Structure Applicable for Intake 2026 
MBA IMPACT </t>
  </si>
  <si>
    <t>Graduation % &lt; 75 or CAT/XAT %ile 60 - 65.00</t>
  </si>
  <si>
    <t xml:space="preserve">Bachelor of Science Computer Science (Hons.) </t>
  </si>
  <si>
    <t>Fee Structure Applicable for Intake 2026 
 B.Sc. CS (Hons.) with Research</t>
  </si>
  <si>
    <t xml:space="preserve">Bachelor of Science Information Technology </t>
  </si>
  <si>
    <t>Fee Structure Applicable for Intake 2026 
B.Sc. IT</t>
  </si>
  <si>
    <t xml:space="preserve">Bachelor of Science Information Technology (Industry Integrated) </t>
  </si>
  <si>
    <t>Fee Structure: 2026-29
b.Sc. IT (Industry Integrated)</t>
  </si>
  <si>
    <t>Bachelor of  Science Nursing</t>
  </si>
  <si>
    <t>Fee Structure Applicable for Intake 2026 
B.Sc. Nursing</t>
  </si>
  <si>
    <t>(12th PCB %) &gt;=95</t>
  </si>
  <si>
    <t>(12th  PCB %)
&gt;=90 &amp;
&lt;95</t>
  </si>
  <si>
    <t>(12th  PCB %)
&gt;=85 &amp;
&lt;90</t>
  </si>
  <si>
    <t>(12th  PCB %)
&gt;=80 &amp;
&lt;85</t>
  </si>
  <si>
    <t xml:space="preserve">(12th  PCB %)
&gt;= 75 &amp; &lt;80 </t>
  </si>
  <si>
    <t>Diploma in Hotel Management</t>
  </si>
  <si>
    <t>Fee Structure Applicable for Intake 2026 
Diploma in Hotel Management</t>
  </si>
  <si>
    <t>(12th Agg. %)
&gt;=95</t>
  </si>
  <si>
    <t>(12th  Agg. %)
&gt;=90
&lt;95</t>
  </si>
  <si>
    <t>(12th  Agg. %)
&gt;=85
&lt;90</t>
  </si>
  <si>
    <t>(12th  Agg. %)
&gt;=80
&lt;85</t>
  </si>
  <si>
    <t>(12th  Agg. %)
&gt;=75
&lt;80</t>
  </si>
  <si>
    <t>(12th  Agg. %)
&gt;=70
&lt;75</t>
  </si>
  <si>
    <t>(12th  Agg. %)
&gt;=65
&lt;70</t>
  </si>
  <si>
    <t>(12th  Agg. %)
&gt;=60
&lt;65</t>
  </si>
  <si>
    <t>BSc. (Hotel Management)</t>
  </si>
  <si>
    <t>Fee Structure Applicable for Intake 2026 
BSc. (Hotel Management)</t>
  </si>
  <si>
    <t>3rd Year
Payment Options</t>
  </si>
  <si>
    <t>Bachelor of Hotel Management</t>
  </si>
  <si>
    <t>Fee Structure Applicable for Intake 2026 
BHM</t>
  </si>
  <si>
    <t>Master of Computer Applications in AI and DS</t>
  </si>
  <si>
    <t>Fee Structure Applicable for Intake 2026 
MCA in AI and DS</t>
  </si>
  <si>
    <t>Graduation % &lt;70</t>
  </si>
  <si>
    <t>Master of Computer Applications</t>
  </si>
  <si>
    <t>Fee Structure Applicable for Intake 2026 
MCA</t>
  </si>
  <si>
    <t xml:space="preserve">Master of Science Information Technology </t>
  </si>
  <si>
    <t>Fee Structure Applicable for Intake 2026 
M.Sc. IT</t>
  </si>
  <si>
    <t>Bachelor of Arts (BA)</t>
  </si>
  <si>
    <t>Fee Structure Applicable for Intake 2026 
Bachelor of Arts || Bachelor of Arts (Hons.)  || Bachelor of Arts  Sociology with Research*</t>
  </si>
  <si>
    <t>Bachelor of Arts (CSEP)</t>
  </si>
  <si>
    <t>Fee Structure Applicable for Intake 2026 
Bachelor of Arts with CSEP -Civil  Services Exam Prepartion</t>
  </si>
  <si>
    <t>* An additional fee of Rs. 18000/- is applicable per semester from 1st semester onwards for CSEP.</t>
  </si>
  <si>
    <t>Bachelor of Arts Sociology</t>
  </si>
  <si>
    <t>Fee Structure Applicable for Intake 2026 
BA Sociology</t>
  </si>
  <si>
    <t>Bachelor of Commerce (Hons.)</t>
  </si>
  <si>
    <t>Fee Structure Applicable for Intake 2026
 Bachelor of Commerce (Hons.) || Bachelor of Commerce (Hons.) with Research || Bachelor of Commerce (Hons.) International Finance and Accounting with ACCA** || Bachelor of Commerce (Hons.) Banking &amp; Finance || Bachelor of Commerce (Hons.) Accounting, Auditing &amp; Taxation ||Bachelor of Commerce (Hons.) Corporate Accounting &amp; Financial Analysis with CMA*, USA || Bachelor of Commerce (Hons.) with Certified Public Accountancy (CPA)***</t>
  </si>
  <si>
    <t>* An additional fee of Rs. 17000/- is applicable per semester from 1st semester onwards for CMA.</t>
  </si>
  <si>
    <t>*** An additional fee of Rs. 25000/- is applicable per semester from 1st semester onwards for CPA.</t>
  </si>
  <si>
    <t xml:space="preserve"> Bachelor of Commerce (International US CPA* in Corporate Finance)</t>
  </si>
  <si>
    <t>Fee Structure Applicable for Intake 2026
B.Com. International US CPA* in Corporate FInance</t>
  </si>
  <si>
    <t>* An additional fee of Rs. 25000/- is applicable per semester from 1st semester onwards for CPA.</t>
  </si>
  <si>
    <t xml:space="preserve"> Bachelor of Commerce (Hons.) in Financial Analytics and Business Intelligence</t>
  </si>
  <si>
    <t>Fee Structure Applicable for Intake 2026
B.Com. (Hons.) in Financial Analytics and Business Intelligence*</t>
  </si>
  <si>
    <t>* An additional fee of Rs. 15000/- is applicable per semester from 1st semester onwards for EY industry integrated program.</t>
  </si>
  <si>
    <t xml:space="preserve"> Bachelor of Commerce</t>
  </si>
  <si>
    <t>Fee Structure Applicable for Intake 2026
B.Com. / B.Com. CMA* / B.Com. ACCA**</t>
  </si>
  <si>
    <t>Bachelor of Science Biotechnology</t>
  </si>
  <si>
    <t>Fee Structure Applicable for Intake 2026 
B.Sc Biotech || B.Sc. (Hons.) || B.Sc. (Hons.)  Biotechnology with Research*</t>
  </si>
  <si>
    <t>Bachelor of Science Microbiology</t>
  </si>
  <si>
    <t>Fee Structure Applicable for Intake 2026 
B.Sc. Microbiology  || B.Sc. (Hons.) || B.Sc. (Hons.) Microbiology with Research*</t>
  </si>
  <si>
    <t>Bachelor of Science Geology</t>
  </si>
  <si>
    <t>Fee Structure Applicable for Intake 2026 
B.Sc. Geology || B.Sc. (Hons.) ||  B.Sc. (Hons.) Geology with Research*</t>
  </si>
  <si>
    <t>LLM, Department of Law</t>
  </si>
  <si>
    <t>Fee Structure Applicable for Intake 2026  
LLM</t>
  </si>
  <si>
    <t>Bachelor of Law (LLB)</t>
  </si>
  <si>
    <t>Fee Structure Applicable for Intake 2026 
Bachelor of Law (LLB)</t>
  </si>
  <si>
    <t>Graduation % &gt;=60 and &lt;65</t>
  </si>
  <si>
    <t xml:space="preserve">Bachelor of Business and Bachelor of Legislative Laws (Hons.) </t>
  </si>
  <si>
    <t xml:space="preserve">Fee Structure Applicable for Intake 2026 
BBA LLB (Hons.) </t>
  </si>
  <si>
    <t xml:space="preserve"> 5th Year
Payment Options</t>
  </si>
  <si>
    <t xml:space="preserve">Bachelor of Arts and Bachelor of Legislative Laws (Hons.) </t>
  </si>
  <si>
    <t xml:space="preserve">Fee Structure Applicable for Intake 2026 
BA LLB (Hons.) </t>
  </si>
  <si>
    <t>B.Des. (Industrial Product Design)</t>
  </si>
  <si>
    <t>Fee Structure Applicable for Intake 2026                                                                 
B.Des. (Industrial Product Design)</t>
  </si>
  <si>
    <t>(12th Aggr %)
&gt;=85 or CUET %ile&gt;=90</t>
  </si>
  <si>
    <t>(12th aggr %)
&gt;=80 &amp; &lt;=84.99 OR  CUET %ile&gt;=87.5 &amp; &lt;=89.99</t>
  </si>
  <si>
    <t>(12th agrr %)
&gt;=75 &amp; &lt;=79.99 OR  CUET %ile&gt;=85 &amp; &lt;=87.49</t>
  </si>
  <si>
    <t>(12th aggr %)
&gt;=70 &amp; &lt;=74.99 OR  CUET %ile&gt;=80 &amp; &lt;=84.99</t>
  </si>
  <si>
    <t>(12th aggr %)
&gt;=65 &amp; &lt;=69.99 OR CUET %ile&gt;=75 &amp; &lt;=79.99</t>
  </si>
  <si>
    <t>(12th agrr %)
&gt;=60 &amp; &lt;=64.99 OR CUET %ile&gt;=70 &amp; &lt;=74.99</t>
  </si>
  <si>
    <t xml:space="preserve">Academic Scholarship </t>
  </si>
  <si>
    <t>B.Des. (Animation and Game Design)</t>
  </si>
  <si>
    <t>Fee Structure Applicable for Intake 2026                                                                 
B.Des. (Animation and Game Design)</t>
  </si>
  <si>
    <t>B.Des. (Graphic and Visual Communication Design)</t>
  </si>
  <si>
    <t>Fee Structure Applicable for Intake 2026                                                                 
B.Des. (Graphic and Visual Communication Design)</t>
  </si>
  <si>
    <t>B.Des. (Interior and Spatial Experience Design)</t>
  </si>
  <si>
    <t>Fee Structure Applicable for Intake 2026                                                                 
B.Des. (Interior and Spatial Experience Design)</t>
  </si>
  <si>
    <t>B.Des. (User Experience and Interaction Design)</t>
  </si>
  <si>
    <t>Fee Structure Applicable for Intake 2026                                                                 
B.Des. (User Experience and Interaction Design)</t>
  </si>
  <si>
    <t xml:space="preserve"> Bachelor of Science Renal Dialysis</t>
  </si>
  <si>
    <t xml:space="preserve">Fee Structure Applicable for Intake 2026
 Bachelor of Science Renal Dialysis
</t>
  </si>
  <si>
    <t xml:space="preserve"> Bachelor of Science Anaesthesia Technology</t>
  </si>
  <si>
    <t>Fee Structure Applicable for Intake 2026
  B.Sc Anaesthesia Technology</t>
  </si>
  <si>
    <t xml:space="preserve"> Bachelor of Science Critical Care</t>
  </si>
  <si>
    <t xml:space="preserve">Fee Structure Applicable for Intake 2026
 Bachelor of Science Critical Care
</t>
  </si>
  <si>
    <t xml:space="preserve"> Bachelor of Science Respiratory Therapy</t>
  </si>
  <si>
    <t xml:space="preserve">Fee Structure Applicable for Intake 2026
 Bachelor of Science Respiratory Therapy
</t>
  </si>
  <si>
    <t xml:space="preserve"> Bachelor of Science Cardiac Perfusion</t>
  </si>
  <si>
    <t>Fee Structure Applicable for Intake 2026
 Bachelor of Science Cardiac Perfusion</t>
  </si>
  <si>
    <t>B.Sc Aeronautics</t>
  </si>
  <si>
    <t>Fee Structure Applicable for Intake 2026
B.Sc Aeronautics</t>
  </si>
  <si>
    <t>(12th Agg. %)&gt;=70  OR CUET  NTA Score avg&gt;=131.25</t>
  </si>
  <si>
    <t>1st Year
Payment Options</t>
  </si>
  <si>
    <t xml:space="preserve"> 2nd Year
Payment Options</t>
  </si>
  <si>
    <t xml:space="preserve"> Bachelor of Science Public Health</t>
  </si>
  <si>
    <t>Fee Structure Applicable for Intake 2026
 Bachelor of Science Public Health</t>
  </si>
  <si>
    <t xml:space="preserve"> Bachelor of Science Clinical Psychology</t>
  </si>
  <si>
    <t xml:space="preserve">Fee Structure Applicable for Intake 2026
 Bachelor of Science Clinical Psychology
</t>
  </si>
  <si>
    <t>Master of Design (M. Des.) Fee Structure</t>
  </si>
  <si>
    <t>Fee Structure Applicable for Intake 2026 
Master of Design (M. Des.) Fee Structure</t>
  </si>
  <si>
    <t>Graduation %
≥ 85%</t>
  </si>
  <si>
    <t>Graduation %
≥ 80% &amp; &lt; 85%</t>
  </si>
  <si>
    <t>Graduation %
≥ 75% &amp; &lt; 80%</t>
  </si>
  <si>
    <t>Graduation %
≥ 70% &amp; &lt; 75%</t>
  </si>
  <si>
    <t>Graduation %
≥ 65% &amp; &lt; 70%</t>
  </si>
  <si>
    <t>Graduation %
≥ 60% &amp; &lt; 65%</t>
  </si>
  <si>
    <t>Scholarships</t>
  </si>
  <si>
    <t>Master of Science Forensic Science</t>
  </si>
  <si>
    <t>Fee Structure Applicable for Intake 2026 
M.Sc Forensic Science</t>
  </si>
  <si>
    <t>Fee Structure Applicable for Intake 2026 
M.Sc Bioinformatics</t>
  </si>
  <si>
    <t xml:space="preserve"> B.Sc. in Emergency &amp; Trauma Care Technology</t>
  </si>
  <si>
    <t xml:space="preserve">Fee Structure Applicable for Intake 2026
 Bachelor of Science Emergency &amp; Trauma Care Technology
</t>
  </si>
  <si>
    <t>M.Sc. in  Product and Interior Design</t>
  </si>
  <si>
    <t>Fee Structure Applicable for Intake 2026 
M.Sc. in Product and Interior Design</t>
  </si>
  <si>
    <t>M.Sc. in Graphic and Interaction Design</t>
  </si>
  <si>
    <t>Fee Structure Applicable for Intake 2026 
M.Sc. in Graphic and Interaction Design</t>
  </si>
  <si>
    <t>B.Sc. / B.Sc. (Hon.) Graphics and Interaction Design</t>
  </si>
  <si>
    <t>Fee Structure Applicable for Intake 2026 
B.Sc. / B.Sc. (Hon.) Graphics and Interaction Design</t>
  </si>
  <si>
    <t>B.Sc. / B.Sc. (Hon.) Product and Interior Design</t>
  </si>
  <si>
    <t>Fee Structure Applicable for Intake 2026 
B.Sc. / B.Sc. (Hon.) Product and Interior Design</t>
  </si>
  <si>
    <t>B.Sc. / B.Sc. (Hon.) Animation and VFX Design</t>
  </si>
  <si>
    <t>Fee Structure Applicable for Intake 2026 
B.Sc. / B.Sc. (Hon.) Animation and VFX Design</t>
  </si>
  <si>
    <t xml:space="preserve">(Graduation Agg. %) &gt;=95  </t>
  </si>
  <si>
    <t>(Graduation  Agg. %) &gt;=85 and &lt;90</t>
  </si>
  <si>
    <t>(Graduation Agg. %) &gt;=80 and &lt;85</t>
  </si>
  <si>
    <t>(Graduation Agg. %) &gt;=75 and &lt;80</t>
  </si>
  <si>
    <t>(Graduation Agg. %) &gt;=90 and &lt;95</t>
  </si>
  <si>
    <t xml:space="preserve">(Graduation Agg. %)&gt;=70 and &lt;75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</si>
</sst>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scheme val="minor"/>
    </font>
    <font>
      <b/>
      <sz val="12"/>
      <color theme="1"/>
      <name val="Roboto"/>
    </font>
    <font>
      <sz val="12"/>
      <name val="Aptos Narrow"/>
    </font>
    <font>
      <b/>
      <sz val="10"/>
      <color theme="1"/>
      <name val="Roboto"/>
    </font>
    <font>
      <b/>
      <sz val="9"/>
      <color theme="1"/>
      <name val="Roboto"/>
    </font>
    <font>
      <sz val="9"/>
      <color theme="1"/>
      <name val="Roboto"/>
    </font>
    <font>
      <sz val="10"/>
      <color theme="1"/>
      <name val="Roboto"/>
    </font>
    <font>
      <sz val="12"/>
      <color theme="1"/>
      <name val="Arial"/>
      <family val="2"/>
    </font>
    <font>
      <b/>
      <sz val="12"/>
      <color theme="1"/>
      <name val="Aptos Narrow"/>
    </font>
    <font>
      <sz val="9"/>
      <color rgb="FF000000"/>
      <name val="Roboto"/>
    </font>
    <font>
      <sz val="12"/>
      <color theme="1"/>
      <name val="Aptos Narrow"/>
    </font>
    <font>
      <b/>
      <sz val="10"/>
      <color rgb="FF000000"/>
      <name val="Roboto"/>
    </font>
    <font>
      <b/>
      <sz val="9"/>
      <color rgb="FF000000"/>
      <name val="Roboto"/>
    </font>
    <font>
      <b/>
      <vertAlign val="superscript"/>
      <sz val="9"/>
      <color theme="1"/>
      <name val="Roboto"/>
    </font>
    <font>
      <b/>
      <vertAlign val="superscript"/>
      <sz val="9"/>
      <color rgb="FF000000"/>
      <name val="Roboto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9999"/>
        <bgColor rgb="FFFF9999"/>
      </patternFill>
    </fill>
    <fill>
      <patternFill patternType="solid">
        <fgColor rgb="FFF2F2F2"/>
        <bgColor rgb="FFF2F2F2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1" fontId="5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1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1" fontId="10" fillId="0" borderId="0" xfId="0" applyNumberFormat="1" applyFont="1"/>
    <xf numFmtId="1" fontId="4" fillId="4" borderId="6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4" borderId="7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 wrapText="1"/>
    </xf>
    <xf numFmtId="1" fontId="6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1" fontId="5" fillId="4" borderId="7" xfId="0" applyNumberFormat="1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1" fontId="12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39" xfId="0" applyBorder="1"/>
    <xf numFmtId="0" fontId="7" fillId="0" borderId="39" xfId="0" applyFont="1" applyBorder="1"/>
    <xf numFmtId="0" fontId="5" fillId="4" borderId="1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left" vertical="center"/>
    </xf>
    <xf numFmtId="1" fontId="5" fillId="4" borderId="41" xfId="0" applyNumberFormat="1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left" vertical="center"/>
    </xf>
    <xf numFmtId="1" fontId="4" fillId="5" borderId="41" xfId="0" applyNumberFormat="1" applyFont="1" applyFill="1" applyBorder="1" applyAlignment="1">
      <alignment horizontal="center" vertical="center"/>
    </xf>
    <xf numFmtId="1" fontId="4" fillId="4" borderId="41" xfId="0" applyNumberFormat="1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vertical="center"/>
    </xf>
    <xf numFmtId="0" fontId="3" fillId="0" borderId="33" xfId="0" applyFont="1" applyBorder="1" applyAlignment="1">
      <alignment horizontal="left"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4" fillId="5" borderId="42" xfId="0" applyFont="1" applyFill="1" applyBorder="1" applyAlignment="1">
      <alignment vertical="center"/>
    </xf>
    <xf numFmtId="0" fontId="5" fillId="4" borderId="4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2" fillId="0" borderId="20" xfId="0" applyFont="1" applyBorder="1"/>
    <xf numFmtId="0" fontId="2" fillId="0" borderId="13" xfId="0" applyFont="1" applyBorder="1"/>
    <xf numFmtId="0" fontId="4" fillId="5" borderId="7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5" xfId="0" applyFont="1" applyBorder="1"/>
    <xf numFmtId="0" fontId="2" fillId="0" borderId="12" xfId="0" applyFont="1" applyBorder="1"/>
    <xf numFmtId="0" fontId="2" fillId="0" borderId="4" xfId="0" applyFont="1" applyBorder="1"/>
    <xf numFmtId="0" fontId="2" fillId="0" borderId="18" xfId="0" applyFont="1" applyBorder="1"/>
    <xf numFmtId="0" fontId="5" fillId="4" borderId="7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38" xfId="0" applyFont="1" applyBorder="1"/>
    <xf numFmtId="0" fontId="0" fillId="0" borderId="0" xfId="0"/>
    <xf numFmtId="0" fontId="2" fillId="0" borderId="40" xfId="0" applyFont="1" applyBorder="1"/>
    <xf numFmtId="0" fontId="5" fillId="4" borderId="7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11" xfId="0" applyFont="1" applyBorder="1"/>
    <xf numFmtId="0" fontId="8" fillId="0" borderId="7" xfId="0" applyFont="1" applyBorder="1" applyAlignment="1">
      <alignment horizontal="left"/>
    </xf>
    <xf numFmtId="0" fontId="1" fillId="2" borderId="7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4" fillId="5" borderId="41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/>
    </xf>
    <xf numFmtId="0" fontId="8" fillId="0" borderId="41" xfId="0" applyFont="1" applyBorder="1" applyAlignment="1">
      <alignment horizontal="left"/>
    </xf>
    <xf numFmtId="0" fontId="3" fillId="0" borderId="7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2" borderId="2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7" fillId="0" borderId="40" xfId="0" applyFont="1" applyBorder="1" applyAlignment="1">
      <alignment horizontal="center" wrapText="1"/>
    </xf>
    <xf numFmtId="3" fontId="5" fillId="4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5" fillId="4" borderId="40" xfId="0" applyFont="1" applyFill="1" applyBorder="1" applyAlignment="1">
      <alignment horizontal="left" vertical="center" wrapText="1"/>
    </xf>
    <xf numFmtId="0" fontId="5" fillId="0" borderId="37" xfId="0" applyFont="1" applyBorder="1" applyAlignment="1">
      <alignment horizontal="center" vertical="center"/>
    </xf>
    <xf numFmtId="0" fontId="2" fillId="0" borderId="37" xfId="0" applyFont="1" applyBorder="1"/>
    <xf numFmtId="0" fontId="2" fillId="0" borderId="8" xfId="0" applyFont="1" applyBorder="1"/>
    <xf numFmtId="0" fontId="5" fillId="4" borderId="20" xfId="0" applyFont="1" applyFill="1" applyBorder="1" applyAlignment="1">
      <alignment horizontal="left" vertical="center" wrapText="1"/>
    </xf>
    <xf numFmtId="0" fontId="5" fillId="4" borderId="3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center" vertical="center"/>
    </xf>
    <xf numFmtId="0" fontId="2" fillId="0" borderId="30" xfId="0" applyFont="1" applyBorder="1"/>
    <xf numFmtId="0" fontId="4" fillId="5" borderId="3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22" xfId="0" applyFont="1" applyBorder="1"/>
    <xf numFmtId="0" fontId="2" fillId="0" borderId="23" xfId="0" applyFont="1" applyBorder="1"/>
    <xf numFmtId="0" fontId="3" fillId="0" borderId="26" xfId="0" applyFont="1" applyBorder="1" applyAlignment="1">
      <alignment horizontal="left" vertical="center"/>
    </xf>
    <xf numFmtId="0" fontId="2" fillId="0" borderId="27" xfId="0" applyFont="1" applyBorder="1"/>
    <xf numFmtId="0" fontId="2" fillId="0" borderId="28" xfId="0" applyFont="1" applyBorder="1"/>
    <xf numFmtId="0" fontId="3" fillId="0" borderId="29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2" fillId="0" borderId="31" xfId="0" applyFont="1" applyBorder="1"/>
    <xf numFmtId="0" fontId="7" fillId="0" borderId="8" xfId="0" applyFont="1" applyBorder="1" applyAlignment="1">
      <alignment horizontal="center" wrapText="1"/>
    </xf>
    <xf numFmtId="0" fontId="4" fillId="4" borderId="10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3" fillId="0" borderId="32" xfId="0" applyFont="1" applyBorder="1" applyAlignment="1">
      <alignment horizontal="left" vertical="center"/>
    </xf>
    <xf numFmtId="0" fontId="2" fillId="0" borderId="33" xfId="0" applyFont="1" applyBorder="1"/>
    <xf numFmtId="0" fontId="1" fillId="2" borderId="3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/>
    </xf>
    <xf numFmtId="0" fontId="1" fillId="2" borderId="36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4" fillId="5" borderId="38" xfId="0" applyFont="1" applyFill="1" applyBorder="1" applyAlignment="1">
      <alignment horizontal="center" vertical="center"/>
    </xf>
    <xf numFmtId="0" fontId="2" fillId="0" borderId="3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theme" Target="theme/theme1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sqref="A1:I1"/>
    </sheetView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6" t="s">
        <v>0</v>
      </c>
      <c r="B1" s="74"/>
      <c r="C1" s="74"/>
      <c r="D1" s="74"/>
      <c r="E1" s="74"/>
      <c r="F1" s="74"/>
      <c r="G1" s="74"/>
      <c r="H1" s="74"/>
      <c r="I1" s="75"/>
    </row>
    <row r="2" spans="1:10" ht="167.25" customHeight="1" x14ac:dyDescent="0.2">
      <c r="A2" s="96" t="s">
        <v>1</v>
      </c>
      <c r="B2" s="74"/>
      <c r="C2" s="74"/>
      <c r="D2" s="74"/>
      <c r="E2" s="74"/>
      <c r="F2" s="74"/>
      <c r="G2" s="74"/>
      <c r="H2" s="74"/>
      <c r="I2" s="75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92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93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93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94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  <c r="J7" s="8"/>
    </row>
    <row r="8" spans="1:10" ht="15.75" customHeight="1" x14ac:dyDescent="0.2">
      <c r="A8" s="92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93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</row>
    <row r="10" spans="1:10" ht="15.75" customHeight="1" x14ac:dyDescent="0.2">
      <c r="A10" s="93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94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</row>
    <row r="12" spans="1:10" ht="15.75" customHeight="1" x14ac:dyDescent="0.2">
      <c r="A12" s="92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</row>
    <row r="13" spans="1:10" ht="15.75" customHeight="1" x14ac:dyDescent="0.2">
      <c r="A13" s="93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</row>
    <row r="14" spans="1:10" ht="15.75" customHeight="1" x14ac:dyDescent="0.2">
      <c r="A14" s="93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94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93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93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94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76" t="s">
        <v>19</v>
      </c>
      <c r="B20" s="75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78"/>
    </row>
    <row r="22" spans="1:9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0"/>
    </row>
    <row r="23" spans="1:9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0"/>
    </row>
    <row r="24" spans="1:9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0"/>
    </row>
    <row r="25" spans="1:9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2"/>
    </row>
    <row r="26" spans="1:9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5"/>
    </row>
    <row r="27" spans="1:9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5"/>
    </row>
    <row r="28" spans="1:9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5"/>
    </row>
    <row r="29" spans="1:9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5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6" t="s">
        <v>31</v>
      </c>
      <c r="B1" s="74"/>
      <c r="C1" s="74"/>
      <c r="D1" s="74"/>
      <c r="E1" s="74"/>
      <c r="F1" s="74"/>
      <c r="G1" s="74"/>
      <c r="H1" s="74"/>
      <c r="I1" s="75"/>
    </row>
    <row r="2" spans="1:10" ht="167.25" customHeight="1" x14ac:dyDescent="0.2">
      <c r="A2" s="96" t="s">
        <v>32</v>
      </c>
      <c r="B2" s="74"/>
      <c r="C2" s="74"/>
      <c r="D2" s="74"/>
      <c r="E2" s="74"/>
      <c r="F2" s="74"/>
      <c r="G2" s="74"/>
      <c r="H2" s="74"/>
      <c r="I2" s="75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92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93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93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94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</row>
    <row r="8" spans="1:10" ht="15.75" customHeight="1" x14ac:dyDescent="0.2">
      <c r="A8" s="92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93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  <c r="J9" s="8"/>
    </row>
    <row r="10" spans="1:10" ht="15.75" customHeight="1" x14ac:dyDescent="0.2">
      <c r="A10" s="93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94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</row>
    <row r="12" spans="1:10" ht="15.75" customHeight="1" x14ac:dyDescent="0.2">
      <c r="A12" s="92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</row>
    <row r="13" spans="1:10" ht="15.75" customHeight="1" x14ac:dyDescent="0.2">
      <c r="A13" s="93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</row>
    <row r="14" spans="1:10" ht="15.75" customHeight="1" x14ac:dyDescent="0.2">
      <c r="A14" s="93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94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93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93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94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76" t="s">
        <v>19</v>
      </c>
      <c r="B20" s="75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78"/>
    </row>
    <row r="22" spans="1:9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0"/>
    </row>
    <row r="23" spans="1:9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0"/>
    </row>
    <row r="24" spans="1:9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0"/>
    </row>
    <row r="25" spans="1:9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2"/>
    </row>
    <row r="26" spans="1:9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5"/>
    </row>
    <row r="27" spans="1:9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5"/>
    </row>
    <row r="28" spans="1:9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5"/>
    </row>
    <row r="29" spans="1:9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5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6" t="s">
        <v>33</v>
      </c>
      <c r="B1" s="74"/>
      <c r="C1" s="74"/>
      <c r="D1" s="74"/>
      <c r="E1" s="74"/>
      <c r="F1" s="74"/>
      <c r="G1" s="74"/>
      <c r="H1" s="74"/>
      <c r="I1" s="75"/>
    </row>
    <row r="2" spans="1:10" ht="47.25" customHeight="1" x14ac:dyDescent="0.2">
      <c r="A2" s="96" t="s">
        <v>34</v>
      </c>
      <c r="B2" s="74"/>
      <c r="C2" s="74"/>
      <c r="D2" s="74"/>
      <c r="E2" s="74"/>
      <c r="F2" s="74"/>
      <c r="G2" s="74"/>
      <c r="H2" s="74"/>
      <c r="I2" s="75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92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93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93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94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</row>
    <row r="8" spans="1:10" ht="15.75" customHeight="1" x14ac:dyDescent="0.2">
      <c r="A8" s="92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93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</row>
    <row r="10" spans="1:10" ht="15.75" customHeight="1" x14ac:dyDescent="0.2">
      <c r="A10" s="93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94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</row>
    <row r="12" spans="1:10" ht="15.75" customHeight="1" x14ac:dyDescent="0.2">
      <c r="A12" s="92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</row>
    <row r="13" spans="1:10" ht="15.75" customHeight="1" x14ac:dyDescent="0.2">
      <c r="A13" s="93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  <c r="J13" s="8"/>
    </row>
    <row r="14" spans="1:10" ht="15.75" customHeight="1" x14ac:dyDescent="0.2">
      <c r="A14" s="93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94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93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93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94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76" t="s">
        <v>19</v>
      </c>
      <c r="B20" s="75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78"/>
    </row>
    <row r="22" spans="1:9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0"/>
    </row>
    <row r="23" spans="1:9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0"/>
    </row>
    <row r="24" spans="1:9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0"/>
    </row>
    <row r="25" spans="1:9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2"/>
    </row>
    <row r="26" spans="1:9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5"/>
    </row>
    <row r="27" spans="1:9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5"/>
    </row>
    <row r="28" spans="1:9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5"/>
    </row>
    <row r="29" spans="1:9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5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6" t="s">
        <v>35</v>
      </c>
      <c r="B1" s="74"/>
      <c r="C1" s="74"/>
      <c r="D1" s="74"/>
      <c r="E1" s="74"/>
      <c r="F1" s="74"/>
      <c r="G1" s="74"/>
      <c r="H1" s="74"/>
      <c r="I1" s="75"/>
    </row>
    <row r="2" spans="1:10" ht="69" customHeight="1" x14ac:dyDescent="0.2">
      <c r="A2" s="96" t="s">
        <v>36</v>
      </c>
      <c r="B2" s="74"/>
      <c r="C2" s="74"/>
      <c r="D2" s="74"/>
      <c r="E2" s="74"/>
      <c r="F2" s="74"/>
      <c r="G2" s="74"/>
      <c r="H2" s="74"/>
      <c r="I2" s="75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92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93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93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94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</row>
    <row r="8" spans="1:10" ht="15.75" customHeight="1" x14ac:dyDescent="0.2">
      <c r="A8" s="92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93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</row>
    <row r="10" spans="1:10" ht="15.75" customHeight="1" x14ac:dyDescent="0.2">
      <c r="A10" s="93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94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  <c r="J11" s="8"/>
    </row>
    <row r="12" spans="1:10" ht="15.75" customHeight="1" x14ac:dyDescent="0.2">
      <c r="A12" s="92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</row>
    <row r="13" spans="1:10" ht="15.75" customHeight="1" x14ac:dyDescent="0.2">
      <c r="A13" s="93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</row>
    <row r="14" spans="1:10" ht="15.75" customHeight="1" x14ac:dyDescent="0.2">
      <c r="A14" s="93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94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93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93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94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76" t="s">
        <v>19</v>
      </c>
      <c r="B20" s="75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78"/>
    </row>
    <row r="22" spans="1:9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0"/>
    </row>
    <row r="23" spans="1:9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0"/>
    </row>
    <row r="24" spans="1:9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0"/>
    </row>
    <row r="25" spans="1:9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2"/>
    </row>
    <row r="26" spans="1:9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5"/>
    </row>
    <row r="27" spans="1:9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5"/>
    </row>
    <row r="28" spans="1:9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5"/>
    </row>
    <row r="29" spans="1:9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5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/>
  </sheetViews>
  <sheetFormatPr baseColWidth="10" defaultColWidth="11.1640625" defaultRowHeight="15" customHeight="1" x14ac:dyDescent="0.2"/>
  <cols>
    <col min="1" max="1" width="20.6640625" customWidth="1"/>
    <col min="2" max="9" width="10.6640625" customWidth="1"/>
    <col min="10" max="26" width="11.1640625" customWidth="1"/>
  </cols>
  <sheetData>
    <row r="1" spans="1:10" ht="15.75" customHeight="1" x14ac:dyDescent="0.2">
      <c r="A1" s="96" t="s">
        <v>37</v>
      </c>
      <c r="B1" s="74"/>
      <c r="C1" s="74"/>
      <c r="D1" s="74"/>
      <c r="E1" s="74"/>
      <c r="F1" s="74"/>
      <c r="G1" s="74"/>
      <c r="H1" s="74"/>
      <c r="I1" s="75"/>
    </row>
    <row r="2" spans="1:10" ht="105" customHeight="1" x14ac:dyDescent="0.2">
      <c r="A2" s="96" t="s">
        <v>38</v>
      </c>
      <c r="B2" s="74"/>
      <c r="C2" s="74"/>
      <c r="D2" s="74"/>
      <c r="E2" s="74"/>
      <c r="F2" s="74"/>
      <c r="G2" s="74"/>
      <c r="H2" s="74"/>
      <c r="I2" s="75"/>
    </row>
    <row r="3" spans="1:10" ht="15.75" customHeight="1" x14ac:dyDescent="0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0" ht="15.75" customHeight="1" x14ac:dyDescent="0.2">
      <c r="A4" s="92" t="s">
        <v>11</v>
      </c>
      <c r="B4" s="3" t="s">
        <v>12</v>
      </c>
      <c r="C4" s="4">
        <v>213800</v>
      </c>
      <c r="D4" s="4">
        <f t="shared" ref="D4:I4" si="0">C4</f>
        <v>213800</v>
      </c>
      <c r="E4" s="4">
        <f t="shared" si="0"/>
        <v>213800</v>
      </c>
      <c r="F4" s="4">
        <f t="shared" si="0"/>
        <v>213800</v>
      </c>
      <c r="G4" s="4">
        <f t="shared" si="0"/>
        <v>213800</v>
      </c>
      <c r="H4" s="4">
        <f t="shared" si="0"/>
        <v>213800</v>
      </c>
      <c r="I4" s="4">
        <f t="shared" si="0"/>
        <v>213800</v>
      </c>
    </row>
    <row r="5" spans="1:10" ht="15.75" customHeight="1" x14ac:dyDescent="0.2">
      <c r="A5" s="93"/>
      <c r="B5" s="3" t="s">
        <v>13</v>
      </c>
      <c r="C5" s="5">
        <v>75000</v>
      </c>
      <c r="D5" s="5">
        <v>50000</v>
      </c>
      <c r="E5" s="5">
        <v>35000</v>
      </c>
      <c r="F5" s="5">
        <v>30000</v>
      </c>
      <c r="G5" s="5">
        <v>25000</v>
      </c>
      <c r="H5" s="5">
        <v>20000</v>
      </c>
      <c r="I5" s="5">
        <v>15000</v>
      </c>
    </row>
    <row r="6" spans="1:10" ht="15.75" customHeight="1" x14ac:dyDescent="0.2">
      <c r="A6" s="93"/>
      <c r="B6" s="6" t="s">
        <v>14</v>
      </c>
      <c r="C6" s="7">
        <f t="shared" ref="C6:I6" si="1">(C4-C5)*2*0.95</f>
        <v>263720</v>
      </c>
      <c r="D6" s="7">
        <f t="shared" si="1"/>
        <v>311220</v>
      </c>
      <c r="E6" s="7">
        <f t="shared" si="1"/>
        <v>339720</v>
      </c>
      <c r="F6" s="7">
        <f t="shared" si="1"/>
        <v>349220</v>
      </c>
      <c r="G6" s="7">
        <f t="shared" si="1"/>
        <v>358720</v>
      </c>
      <c r="H6" s="7">
        <f t="shared" si="1"/>
        <v>368220</v>
      </c>
      <c r="I6" s="7">
        <f t="shared" si="1"/>
        <v>377720</v>
      </c>
    </row>
    <row r="7" spans="1:10" ht="15.75" customHeight="1" x14ac:dyDescent="0.2">
      <c r="A7" s="94"/>
      <c r="B7" s="6" t="s">
        <v>15</v>
      </c>
      <c r="C7" s="7">
        <f t="shared" ref="C7:I7" si="2">(C4-C5)</f>
        <v>138800</v>
      </c>
      <c r="D7" s="7">
        <f t="shared" si="2"/>
        <v>163800</v>
      </c>
      <c r="E7" s="7">
        <f t="shared" si="2"/>
        <v>178800</v>
      </c>
      <c r="F7" s="7">
        <f t="shared" si="2"/>
        <v>183800</v>
      </c>
      <c r="G7" s="7">
        <f t="shared" si="2"/>
        <v>188800</v>
      </c>
      <c r="H7" s="7">
        <f t="shared" si="2"/>
        <v>193800</v>
      </c>
      <c r="I7" s="7">
        <f t="shared" si="2"/>
        <v>198800</v>
      </c>
    </row>
    <row r="8" spans="1:10" ht="15.75" customHeight="1" x14ac:dyDescent="0.2">
      <c r="A8" s="92" t="s">
        <v>16</v>
      </c>
      <c r="B8" s="3" t="s">
        <v>12</v>
      </c>
      <c r="C8" s="4">
        <v>222500</v>
      </c>
      <c r="D8" s="4">
        <f t="shared" ref="D8:I8" si="3">C8</f>
        <v>222500</v>
      </c>
      <c r="E8" s="4">
        <f t="shared" si="3"/>
        <v>222500</v>
      </c>
      <c r="F8" s="4">
        <f t="shared" si="3"/>
        <v>222500</v>
      </c>
      <c r="G8" s="4">
        <f t="shared" si="3"/>
        <v>222500</v>
      </c>
      <c r="H8" s="4">
        <f t="shared" si="3"/>
        <v>222500</v>
      </c>
      <c r="I8" s="4">
        <f t="shared" si="3"/>
        <v>222500</v>
      </c>
    </row>
    <row r="9" spans="1:10" ht="15.75" customHeight="1" x14ac:dyDescent="0.2">
      <c r="A9" s="93"/>
      <c r="B9" s="3" t="s">
        <v>13</v>
      </c>
      <c r="C9" s="4">
        <f t="shared" ref="C9:I9" si="4">C5</f>
        <v>75000</v>
      </c>
      <c r="D9" s="4">
        <f t="shared" si="4"/>
        <v>50000</v>
      </c>
      <c r="E9" s="4">
        <f t="shared" si="4"/>
        <v>35000</v>
      </c>
      <c r="F9" s="4">
        <f t="shared" si="4"/>
        <v>30000</v>
      </c>
      <c r="G9" s="4">
        <f t="shared" si="4"/>
        <v>25000</v>
      </c>
      <c r="H9" s="4">
        <f t="shared" si="4"/>
        <v>20000</v>
      </c>
      <c r="I9" s="4">
        <f t="shared" si="4"/>
        <v>15000</v>
      </c>
    </row>
    <row r="10" spans="1:10" ht="15.75" customHeight="1" x14ac:dyDescent="0.2">
      <c r="A10" s="93"/>
      <c r="B10" s="6" t="s">
        <v>14</v>
      </c>
      <c r="C10" s="7">
        <f t="shared" ref="C10:I10" si="5">(C8-C9)*2*0.95</f>
        <v>280250</v>
      </c>
      <c r="D10" s="7">
        <f t="shared" si="5"/>
        <v>327750</v>
      </c>
      <c r="E10" s="7">
        <f t="shared" si="5"/>
        <v>356250</v>
      </c>
      <c r="F10" s="7">
        <f t="shared" si="5"/>
        <v>365750</v>
      </c>
      <c r="G10" s="7">
        <f t="shared" si="5"/>
        <v>375250</v>
      </c>
      <c r="H10" s="7">
        <f t="shared" si="5"/>
        <v>384750</v>
      </c>
      <c r="I10" s="7">
        <f t="shared" si="5"/>
        <v>394250</v>
      </c>
    </row>
    <row r="11" spans="1:10" ht="15.75" customHeight="1" x14ac:dyDescent="0.2">
      <c r="A11" s="94"/>
      <c r="B11" s="6" t="s">
        <v>15</v>
      </c>
      <c r="C11" s="7">
        <f t="shared" ref="C11:I11" si="6">(C8-C9)</f>
        <v>147500</v>
      </c>
      <c r="D11" s="7">
        <f t="shared" si="6"/>
        <v>172500</v>
      </c>
      <c r="E11" s="7">
        <f t="shared" si="6"/>
        <v>187500</v>
      </c>
      <c r="F11" s="7">
        <f t="shared" si="6"/>
        <v>192500</v>
      </c>
      <c r="G11" s="7">
        <f t="shared" si="6"/>
        <v>197500</v>
      </c>
      <c r="H11" s="7">
        <f t="shared" si="6"/>
        <v>202500</v>
      </c>
      <c r="I11" s="7">
        <f t="shared" si="6"/>
        <v>207500</v>
      </c>
    </row>
    <row r="12" spans="1:10" ht="15.75" customHeight="1" x14ac:dyDescent="0.2">
      <c r="A12" s="92" t="s">
        <v>17</v>
      </c>
      <c r="B12" s="3" t="s">
        <v>12</v>
      </c>
      <c r="C12" s="4">
        <f>C8*1.05</f>
        <v>233625</v>
      </c>
      <c r="D12" s="4">
        <f t="shared" ref="D12:I12" si="7">C12</f>
        <v>233625</v>
      </c>
      <c r="E12" s="4">
        <f t="shared" si="7"/>
        <v>233625</v>
      </c>
      <c r="F12" s="4">
        <f t="shared" si="7"/>
        <v>233625</v>
      </c>
      <c r="G12" s="4">
        <f t="shared" si="7"/>
        <v>233625</v>
      </c>
      <c r="H12" s="4">
        <f t="shared" si="7"/>
        <v>233625</v>
      </c>
      <c r="I12" s="4">
        <f t="shared" si="7"/>
        <v>233625</v>
      </c>
      <c r="J12" s="8"/>
    </row>
    <row r="13" spans="1:10" ht="15.75" customHeight="1" x14ac:dyDescent="0.2">
      <c r="A13" s="93"/>
      <c r="B13" s="3" t="s">
        <v>13</v>
      </c>
      <c r="C13" s="4">
        <f t="shared" ref="C13:I13" si="8">C9</f>
        <v>75000</v>
      </c>
      <c r="D13" s="4">
        <f t="shared" si="8"/>
        <v>50000</v>
      </c>
      <c r="E13" s="4">
        <f t="shared" si="8"/>
        <v>35000</v>
      </c>
      <c r="F13" s="4">
        <f t="shared" si="8"/>
        <v>30000</v>
      </c>
      <c r="G13" s="4">
        <f t="shared" si="8"/>
        <v>25000</v>
      </c>
      <c r="H13" s="4">
        <f t="shared" si="8"/>
        <v>20000</v>
      </c>
      <c r="I13" s="4">
        <f t="shared" si="8"/>
        <v>15000</v>
      </c>
    </row>
    <row r="14" spans="1:10" ht="15.75" customHeight="1" x14ac:dyDescent="0.2">
      <c r="A14" s="93"/>
      <c r="B14" s="6" t="s">
        <v>14</v>
      </c>
      <c r="C14" s="7">
        <f t="shared" ref="C14:I14" si="9">(C12-C13)*2*0.95</f>
        <v>301387.5</v>
      </c>
      <c r="D14" s="7">
        <f t="shared" si="9"/>
        <v>348887.5</v>
      </c>
      <c r="E14" s="7">
        <f t="shared" si="9"/>
        <v>377387.5</v>
      </c>
      <c r="F14" s="7">
        <f t="shared" si="9"/>
        <v>386887.5</v>
      </c>
      <c r="G14" s="7">
        <f t="shared" si="9"/>
        <v>396387.5</v>
      </c>
      <c r="H14" s="7">
        <f t="shared" si="9"/>
        <v>405887.5</v>
      </c>
      <c r="I14" s="7">
        <f t="shared" si="9"/>
        <v>415387.5</v>
      </c>
    </row>
    <row r="15" spans="1:10" ht="15.75" customHeight="1" x14ac:dyDescent="0.2">
      <c r="A15" s="94"/>
      <c r="B15" s="6" t="s">
        <v>15</v>
      </c>
      <c r="C15" s="7">
        <f t="shared" ref="C15:I15" si="10">(C12-C13)</f>
        <v>158625</v>
      </c>
      <c r="D15" s="7">
        <f t="shared" si="10"/>
        <v>183625</v>
      </c>
      <c r="E15" s="7">
        <f t="shared" si="10"/>
        <v>198625</v>
      </c>
      <c r="F15" s="7">
        <f t="shared" si="10"/>
        <v>203625</v>
      </c>
      <c r="G15" s="7">
        <f t="shared" si="10"/>
        <v>208625</v>
      </c>
      <c r="H15" s="7">
        <f t="shared" si="10"/>
        <v>213625</v>
      </c>
      <c r="I15" s="7">
        <f t="shared" si="10"/>
        <v>218625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245306.25</v>
      </c>
      <c r="D16" s="4">
        <f t="shared" ref="D16:I16" si="11">C16</f>
        <v>245306.25</v>
      </c>
      <c r="E16" s="4">
        <f t="shared" si="11"/>
        <v>245306.25</v>
      </c>
      <c r="F16" s="4">
        <f t="shared" si="11"/>
        <v>245306.25</v>
      </c>
      <c r="G16" s="4">
        <f t="shared" si="11"/>
        <v>245306.25</v>
      </c>
      <c r="H16" s="4">
        <f t="shared" si="11"/>
        <v>245306.25</v>
      </c>
      <c r="I16" s="4">
        <f t="shared" si="11"/>
        <v>245306.25</v>
      </c>
    </row>
    <row r="17" spans="1:9" ht="15.75" customHeight="1" x14ac:dyDescent="0.2">
      <c r="A17" s="93"/>
      <c r="B17" s="3" t="s">
        <v>13</v>
      </c>
      <c r="C17" s="4">
        <f t="shared" ref="C17:I17" si="12">C13</f>
        <v>75000</v>
      </c>
      <c r="D17" s="4">
        <f t="shared" si="12"/>
        <v>50000</v>
      </c>
      <c r="E17" s="4">
        <f t="shared" si="12"/>
        <v>35000</v>
      </c>
      <c r="F17" s="4">
        <f t="shared" si="12"/>
        <v>30000</v>
      </c>
      <c r="G17" s="4">
        <f t="shared" si="12"/>
        <v>25000</v>
      </c>
      <c r="H17" s="4">
        <f t="shared" si="12"/>
        <v>20000</v>
      </c>
      <c r="I17" s="4">
        <f t="shared" si="12"/>
        <v>15000</v>
      </c>
    </row>
    <row r="18" spans="1:9" ht="15.75" customHeight="1" x14ac:dyDescent="0.2">
      <c r="A18" s="93"/>
      <c r="B18" s="6" t="s">
        <v>14</v>
      </c>
      <c r="C18" s="7">
        <f t="shared" ref="C18:I18" si="13">(C16-C17)*2*0.95</f>
        <v>323581.875</v>
      </c>
      <c r="D18" s="7">
        <f t="shared" si="13"/>
        <v>371081.875</v>
      </c>
      <c r="E18" s="7">
        <f t="shared" si="13"/>
        <v>399581.875</v>
      </c>
      <c r="F18" s="7">
        <f t="shared" si="13"/>
        <v>409081.875</v>
      </c>
      <c r="G18" s="7">
        <f t="shared" si="13"/>
        <v>418581.875</v>
      </c>
      <c r="H18" s="7">
        <f t="shared" si="13"/>
        <v>428081.875</v>
      </c>
      <c r="I18" s="7">
        <f t="shared" si="13"/>
        <v>437581.875</v>
      </c>
    </row>
    <row r="19" spans="1:9" ht="15.75" customHeight="1" x14ac:dyDescent="0.2">
      <c r="A19" s="94"/>
      <c r="B19" s="6" t="s">
        <v>15</v>
      </c>
      <c r="C19" s="7">
        <f t="shared" ref="C19:I19" si="14">(C16-C17)</f>
        <v>170306.25</v>
      </c>
      <c r="D19" s="7">
        <f t="shared" si="14"/>
        <v>195306.25</v>
      </c>
      <c r="E19" s="7">
        <f t="shared" si="14"/>
        <v>210306.25</v>
      </c>
      <c r="F19" s="7">
        <f t="shared" si="14"/>
        <v>215306.25</v>
      </c>
      <c r="G19" s="7">
        <f t="shared" si="14"/>
        <v>220306.25</v>
      </c>
      <c r="H19" s="7">
        <f t="shared" si="14"/>
        <v>225306.25</v>
      </c>
      <c r="I19" s="7">
        <f t="shared" si="14"/>
        <v>230306.25</v>
      </c>
    </row>
    <row r="20" spans="1:9" ht="15.75" customHeight="1" x14ac:dyDescent="0.2">
      <c r="A20" s="76" t="s">
        <v>19</v>
      </c>
      <c r="B20" s="75"/>
      <c r="C20" s="9">
        <f t="shared" ref="C20:I20" si="15">SUM(C6,C10,C14,C18)</f>
        <v>1168939.375</v>
      </c>
      <c r="D20" s="9">
        <f t="shared" si="15"/>
        <v>1358939.375</v>
      </c>
      <c r="E20" s="9">
        <f t="shared" si="15"/>
        <v>1472939.375</v>
      </c>
      <c r="F20" s="9">
        <f t="shared" si="15"/>
        <v>1510939.375</v>
      </c>
      <c r="G20" s="9">
        <f t="shared" si="15"/>
        <v>1548939.375</v>
      </c>
      <c r="H20" s="9">
        <f t="shared" si="15"/>
        <v>1586939.375</v>
      </c>
      <c r="I20" s="9">
        <f t="shared" si="15"/>
        <v>1624939.375</v>
      </c>
    </row>
    <row r="21" spans="1:9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78"/>
    </row>
    <row r="22" spans="1:9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0"/>
    </row>
    <row r="23" spans="1:9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0"/>
    </row>
    <row r="24" spans="1:9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0"/>
    </row>
    <row r="25" spans="1:9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2"/>
    </row>
    <row r="26" spans="1:9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5"/>
    </row>
    <row r="27" spans="1:9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5"/>
    </row>
    <row r="28" spans="1:9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5"/>
    </row>
    <row r="29" spans="1:9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5"/>
    </row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I1"/>
    <mergeCell ref="A2:I2"/>
    <mergeCell ref="A4:A7"/>
    <mergeCell ref="A8:A11"/>
    <mergeCell ref="A12:A15"/>
    <mergeCell ref="A16:A19"/>
    <mergeCell ref="A20:B20"/>
    <mergeCell ref="C25:D25"/>
    <mergeCell ref="A26:I26"/>
    <mergeCell ref="A27:I27"/>
    <mergeCell ref="A28:I28"/>
    <mergeCell ref="A29:I29"/>
    <mergeCell ref="A21:B23"/>
    <mergeCell ref="C21:D21"/>
    <mergeCell ref="F21:I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6" t="s">
        <v>39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ht="72.75" customHeight="1" x14ac:dyDescent="0.2">
      <c r="A2" s="96" t="s">
        <v>40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15.75" customHeight="1" x14ac:dyDescent="0.2">
      <c r="A3" s="1" t="s">
        <v>2</v>
      </c>
      <c r="B3" s="1" t="s">
        <v>3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</row>
    <row r="4" spans="1:10" ht="15.75" customHeight="1" x14ac:dyDescent="0.2">
      <c r="A4" s="92" t="s">
        <v>11</v>
      </c>
      <c r="B4" s="3" t="s">
        <v>12</v>
      </c>
      <c r="C4" s="4">
        <v>150800</v>
      </c>
      <c r="D4" s="4">
        <f t="shared" ref="D4:J4" si="0">C4</f>
        <v>150800</v>
      </c>
      <c r="E4" s="4">
        <f t="shared" si="0"/>
        <v>150800</v>
      </c>
      <c r="F4" s="4">
        <f t="shared" si="0"/>
        <v>150800</v>
      </c>
      <c r="G4" s="4">
        <f t="shared" si="0"/>
        <v>150800</v>
      </c>
      <c r="H4" s="4">
        <f t="shared" si="0"/>
        <v>150800</v>
      </c>
      <c r="I4" s="4">
        <f t="shared" si="0"/>
        <v>150800</v>
      </c>
      <c r="J4" s="4">
        <f t="shared" si="0"/>
        <v>150800</v>
      </c>
    </row>
    <row r="5" spans="1:10" ht="15.75" customHeight="1" x14ac:dyDescent="0.2">
      <c r="A5" s="93"/>
      <c r="B5" s="3" t="s">
        <v>13</v>
      </c>
      <c r="C5" s="5">
        <v>63000</v>
      </c>
      <c r="D5" s="5">
        <v>50000</v>
      </c>
      <c r="E5" s="5">
        <v>40000</v>
      </c>
      <c r="F5" s="5">
        <v>35000</v>
      </c>
      <c r="G5" s="5">
        <v>30000</v>
      </c>
      <c r="H5" s="5">
        <v>25000</v>
      </c>
      <c r="I5" s="5">
        <v>20000</v>
      </c>
      <c r="J5" s="5">
        <v>15000</v>
      </c>
    </row>
    <row r="6" spans="1:10" ht="15.75" customHeight="1" x14ac:dyDescent="0.2">
      <c r="A6" s="93"/>
      <c r="B6" s="6" t="s">
        <v>14</v>
      </c>
      <c r="C6" s="7">
        <f t="shared" ref="C6:J6" si="1">(C4-C5)*2*0.95</f>
        <v>166820</v>
      </c>
      <c r="D6" s="7">
        <f t="shared" si="1"/>
        <v>191520</v>
      </c>
      <c r="E6" s="7">
        <f t="shared" si="1"/>
        <v>210520</v>
      </c>
      <c r="F6" s="7">
        <f t="shared" si="1"/>
        <v>220020</v>
      </c>
      <c r="G6" s="7">
        <f t="shared" si="1"/>
        <v>229520</v>
      </c>
      <c r="H6" s="7">
        <f t="shared" si="1"/>
        <v>239020</v>
      </c>
      <c r="I6" s="7">
        <f t="shared" si="1"/>
        <v>248520</v>
      </c>
      <c r="J6" s="7">
        <f t="shared" si="1"/>
        <v>258020</v>
      </c>
    </row>
    <row r="7" spans="1:10" ht="15.75" customHeight="1" x14ac:dyDescent="0.2">
      <c r="A7" s="94"/>
      <c r="B7" s="6" t="s">
        <v>15</v>
      </c>
      <c r="C7" s="7">
        <f t="shared" ref="C7:J7" si="2">(C4-C5)</f>
        <v>87800</v>
      </c>
      <c r="D7" s="7">
        <f t="shared" si="2"/>
        <v>100800</v>
      </c>
      <c r="E7" s="7">
        <f t="shared" si="2"/>
        <v>110800</v>
      </c>
      <c r="F7" s="7">
        <f t="shared" si="2"/>
        <v>115800</v>
      </c>
      <c r="G7" s="7">
        <f t="shared" si="2"/>
        <v>120800</v>
      </c>
      <c r="H7" s="7">
        <f t="shared" si="2"/>
        <v>125800</v>
      </c>
      <c r="I7" s="7">
        <f t="shared" si="2"/>
        <v>130800</v>
      </c>
      <c r="J7" s="7">
        <f t="shared" si="2"/>
        <v>135800</v>
      </c>
    </row>
    <row r="8" spans="1:10" ht="15.75" customHeight="1" x14ac:dyDescent="0.2">
      <c r="A8" s="92" t="s">
        <v>16</v>
      </c>
      <c r="B8" s="3" t="s">
        <v>12</v>
      </c>
      <c r="C8" s="4">
        <v>156500</v>
      </c>
      <c r="D8" s="4">
        <f t="shared" ref="D8:J8" si="3">C8</f>
        <v>156500</v>
      </c>
      <c r="E8" s="4">
        <f t="shared" si="3"/>
        <v>156500</v>
      </c>
      <c r="F8" s="4">
        <f t="shared" si="3"/>
        <v>156500</v>
      </c>
      <c r="G8" s="4">
        <f t="shared" si="3"/>
        <v>156500</v>
      </c>
      <c r="H8" s="4">
        <f t="shared" si="3"/>
        <v>156500</v>
      </c>
      <c r="I8" s="4">
        <f t="shared" si="3"/>
        <v>156500</v>
      </c>
      <c r="J8" s="4">
        <f t="shared" si="3"/>
        <v>156500</v>
      </c>
    </row>
    <row r="9" spans="1:10" ht="15.75" customHeight="1" x14ac:dyDescent="0.2">
      <c r="A9" s="93"/>
      <c r="B9" s="3" t="s">
        <v>13</v>
      </c>
      <c r="C9" s="4">
        <f t="shared" ref="C9:J9" si="4">C5</f>
        <v>63000</v>
      </c>
      <c r="D9" s="4">
        <f t="shared" si="4"/>
        <v>50000</v>
      </c>
      <c r="E9" s="4">
        <f t="shared" si="4"/>
        <v>40000</v>
      </c>
      <c r="F9" s="4">
        <f t="shared" si="4"/>
        <v>35000</v>
      </c>
      <c r="G9" s="4">
        <f t="shared" si="4"/>
        <v>30000</v>
      </c>
      <c r="H9" s="4">
        <f t="shared" si="4"/>
        <v>25000</v>
      </c>
      <c r="I9" s="4">
        <f t="shared" si="4"/>
        <v>20000</v>
      </c>
      <c r="J9" s="4">
        <f t="shared" si="4"/>
        <v>15000</v>
      </c>
    </row>
    <row r="10" spans="1:10" ht="15.75" customHeight="1" x14ac:dyDescent="0.2">
      <c r="A10" s="93"/>
      <c r="B10" s="6" t="s">
        <v>14</v>
      </c>
      <c r="C10" s="7">
        <f t="shared" ref="C10:J10" si="5">(C8-C9)*2*0.95</f>
        <v>177650</v>
      </c>
      <c r="D10" s="7">
        <f t="shared" si="5"/>
        <v>202350</v>
      </c>
      <c r="E10" s="7">
        <f t="shared" si="5"/>
        <v>221350</v>
      </c>
      <c r="F10" s="7">
        <f t="shared" si="5"/>
        <v>230850</v>
      </c>
      <c r="G10" s="7">
        <f t="shared" si="5"/>
        <v>240350</v>
      </c>
      <c r="H10" s="7">
        <f t="shared" si="5"/>
        <v>249850</v>
      </c>
      <c r="I10" s="7">
        <f t="shared" si="5"/>
        <v>259350</v>
      </c>
      <c r="J10" s="7">
        <f t="shared" si="5"/>
        <v>268850</v>
      </c>
    </row>
    <row r="11" spans="1:10" ht="15.75" customHeight="1" x14ac:dyDescent="0.2">
      <c r="A11" s="94"/>
      <c r="B11" s="6" t="s">
        <v>15</v>
      </c>
      <c r="C11" s="7">
        <f t="shared" ref="C11:J11" si="6">(C8-C9)</f>
        <v>93500</v>
      </c>
      <c r="D11" s="7">
        <f t="shared" si="6"/>
        <v>106500</v>
      </c>
      <c r="E11" s="7">
        <f t="shared" si="6"/>
        <v>116500</v>
      </c>
      <c r="F11" s="7">
        <f t="shared" si="6"/>
        <v>121500</v>
      </c>
      <c r="G11" s="7">
        <f t="shared" si="6"/>
        <v>126500</v>
      </c>
      <c r="H11" s="7">
        <f t="shared" si="6"/>
        <v>131500</v>
      </c>
      <c r="I11" s="7">
        <f t="shared" si="6"/>
        <v>136500</v>
      </c>
      <c r="J11" s="7">
        <f t="shared" si="6"/>
        <v>141500</v>
      </c>
    </row>
    <row r="12" spans="1:10" ht="15.75" customHeight="1" x14ac:dyDescent="0.2">
      <c r="A12" s="92" t="s">
        <v>17</v>
      </c>
      <c r="B12" s="3" t="s">
        <v>12</v>
      </c>
      <c r="C12" s="4">
        <f>C8*1.05</f>
        <v>164325</v>
      </c>
      <c r="D12" s="4">
        <f t="shared" ref="D12:J12" si="7">C12</f>
        <v>164325</v>
      </c>
      <c r="E12" s="4">
        <f t="shared" si="7"/>
        <v>164325</v>
      </c>
      <c r="F12" s="4">
        <f t="shared" si="7"/>
        <v>164325</v>
      </c>
      <c r="G12" s="4">
        <f t="shared" si="7"/>
        <v>164325</v>
      </c>
      <c r="H12" s="4">
        <f t="shared" si="7"/>
        <v>164325</v>
      </c>
      <c r="I12" s="4">
        <f t="shared" si="7"/>
        <v>164325</v>
      </c>
      <c r="J12" s="4">
        <f t="shared" si="7"/>
        <v>164325</v>
      </c>
    </row>
    <row r="13" spans="1:10" ht="15.75" customHeight="1" x14ac:dyDescent="0.2">
      <c r="A13" s="93"/>
      <c r="B13" s="3" t="s">
        <v>13</v>
      </c>
      <c r="C13" s="4">
        <f t="shared" ref="C13:J13" si="8">C9</f>
        <v>63000</v>
      </c>
      <c r="D13" s="4">
        <f t="shared" si="8"/>
        <v>50000</v>
      </c>
      <c r="E13" s="4">
        <f t="shared" si="8"/>
        <v>40000</v>
      </c>
      <c r="F13" s="4">
        <f t="shared" si="8"/>
        <v>35000</v>
      </c>
      <c r="G13" s="4">
        <f t="shared" si="8"/>
        <v>30000</v>
      </c>
      <c r="H13" s="4">
        <f t="shared" si="8"/>
        <v>25000</v>
      </c>
      <c r="I13" s="4">
        <f t="shared" si="8"/>
        <v>20000</v>
      </c>
      <c r="J13" s="4">
        <f t="shared" si="8"/>
        <v>15000</v>
      </c>
    </row>
    <row r="14" spans="1:10" ht="15.75" customHeight="1" x14ac:dyDescent="0.2">
      <c r="A14" s="93"/>
      <c r="B14" s="6" t="s">
        <v>14</v>
      </c>
      <c r="C14" s="7">
        <f t="shared" ref="C14:J14" si="9">(C12-C13)*2*0.95</f>
        <v>192517.5</v>
      </c>
      <c r="D14" s="7">
        <f t="shared" si="9"/>
        <v>217217.5</v>
      </c>
      <c r="E14" s="7">
        <f t="shared" si="9"/>
        <v>236217.5</v>
      </c>
      <c r="F14" s="7">
        <f t="shared" si="9"/>
        <v>245717.5</v>
      </c>
      <c r="G14" s="7">
        <f t="shared" si="9"/>
        <v>255217.5</v>
      </c>
      <c r="H14" s="7">
        <f t="shared" si="9"/>
        <v>264717.5</v>
      </c>
      <c r="I14" s="7">
        <f t="shared" si="9"/>
        <v>274217.5</v>
      </c>
      <c r="J14" s="7">
        <f t="shared" si="9"/>
        <v>283717.5</v>
      </c>
    </row>
    <row r="15" spans="1:10" ht="15.75" customHeight="1" x14ac:dyDescent="0.2">
      <c r="A15" s="94"/>
      <c r="B15" s="6" t="s">
        <v>15</v>
      </c>
      <c r="C15" s="7">
        <f t="shared" ref="C15:J15" si="10">(C12-C13)</f>
        <v>101325</v>
      </c>
      <c r="D15" s="7">
        <f t="shared" si="10"/>
        <v>114325</v>
      </c>
      <c r="E15" s="7">
        <f t="shared" si="10"/>
        <v>124325</v>
      </c>
      <c r="F15" s="7">
        <f t="shared" si="10"/>
        <v>129325</v>
      </c>
      <c r="G15" s="7">
        <f t="shared" si="10"/>
        <v>134325</v>
      </c>
      <c r="H15" s="7">
        <f t="shared" si="10"/>
        <v>139325</v>
      </c>
      <c r="I15" s="7">
        <f t="shared" si="10"/>
        <v>144325</v>
      </c>
      <c r="J15" s="7">
        <f t="shared" si="10"/>
        <v>149325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172541.25</v>
      </c>
      <c r="D16" s="4">
        <f t="shared" ref="D16:J16" si="11">C16</f>
        <v>172541.25</v>
      </c>
      <c r="E16" s="4">
        <f t="shared" si="11"/>
        <v>172541.25</v>
      </c>
      <c r="F16" s="4">
        <f t="shared" si="11"/>
        <v>172541.25</v>
      </c>
      <c r="G16" s="4">
        <f t="shared" si="11"/>
        <v>172541.25</v>
      </c>
      <c r="H16" s="4">
        <f t="shared" si="11"/>
        <v>172541.25</v>
      </c>
      <c r="I16" s="4">
        <f t="shared" si="11"/>
        <v>172541.25</v>
      </c>
      <c r="J16" s="4">
        <f t="shared" si="11"/>
        <v>172541.25</v>
      </c>
    </row>
    <row r="17" spans="1:10" ht="15.75" customHeight="1" x14ac:dyDescent="0.2">
      <c r="A17" s="93"/>
      <c r="B17" s="3" t="s">
        <v>13</v>
      </c>
      <c r="C17" s="4">
        <f t="shared" ref="C17:J17" si="12">C13</f>
        <v>63000</v>
      </c>
      <c r="D17" s="4">
        <f t="shared" si="12"/>
        <v>50000</v>
      </c>
      <c r="E17" s="4">
        <f t="shared" si="12"/>
        <v>40000</v>
      </c>
      <c r="F17" s="4">
        <f t="shared" si="12"/>
        <v>35000</v>
      </c>
      <c r="G17" s="4">
        <f t="shared" si="12"/>
        <v>30000</v>
      </c>
      <c r="H17" s="4">
        <f t="shared" si="12"/>
        <v>25000</v>
      </c>
      <c r="I17" s="4">
        <f t="shared" si="12"/>
        <v>20000</v>
      </c>
      <c r="J17" s="4">
        <f t="shared" si="12"/>
        <v>15000</v>
      </c>
    </row>
    <row r="18" spans="1:10" ht="15.75" customHeight="1" x14ac:dyDescent="0.2">
      <c r="A18" s="93"/>
      <c r="B18" s="6" t="s">
        <v>14</v>
      </c>
      <c r="C18" s="7">
        <f t="shared" ref="C18:J18" si="13">(C16-C17)*2*0.95</f>
        <v>208128.375</v>
      </c>
      <c r="D18" s="7">
        <f t="shared" si="13"/>
        <v>232828.375</v>
      </c>
      <c r="E18" s="7">
        <f t="shared" si="13"/>
        <v>251828.375</v>
      </c>
      <c r="F18" s="7">
        <f t="shared" si="13"/>
        <v>261328.375</v>
      </c>
      <c r="G18" s="7">
        <f t="shared" si="13"/>
        <v>270828.375</v>
      </c>
      <c r="H18" s="7">
        <f t="shared" si="13"/>
        <v>280328.375</v>
      </c>
      <c r="I18" s="7">
        <f t="shared" si="13"/>
        <v>289828.375</v>
      </c>
      <c r="J18" s="7">
        <f t="shared" si="13"/>
        <v>299328.375</v>
      </c>
    </row>
    <row r="19" spans="1:10" ht="15.75" customHeight="1" x14ac:dyDescent="0.2">
      <c r="A19" s="94"/>
      <c r="B19" s="6" t="s">
        <v>15</v>
      </c>
      <c r="C19" s="7">
        <f t="shared" ref="C19:J19" si="14">(C16-C17)</f>
        <v>109541.25</v>
      </c>
      <c r="D19" s="7">
        <f t="shared" si="14"/>
        <v>122541.25</v>
      </c>
      <c r="E19" s="7">
        <f t="shared" si="14"/>
        <v>132541.25</v>
      </c>
      <c r="F19" s="7">
        <f t="shared" si="14"/>
        <v>137541.25</v>
      </c>
      <c r="G19" s="7">
        <f t="shared" si="14"/>
        <v>142541.25</v>
      </c>
      <c r="H19" s="7">
        <f t="shared" si="14"/>
        <v>147541.25</v>
      </c>
      <c r="I19" s="7">
        <f t="shared" si="14"/>
        <v>152541.25</v>
      </c>
      <c r="J19" s="7">
        <f t="shared" si="14"/>
        <v>157541.25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745115.875</v>
      </c>
      <c r="D20" s="9">
        <f t="shared" si="15"/>
        <v>843915.875</v>
      </c>
      <c r="E20" s="9">
        <f t="shared" si="15"/>
        <v>919915.875</v>
      </c>
      <c r="F20" s="9">
        <f t="shared" si="15"/>
        <v>957915.875</v>
      </c>
      <c r="G20" s="9">
        <f t="shared" si="15"/>
        <v>995915.875</v>
      </c>
      <c r="H20" s="9">
        <f t="shared" si="15"/>
        <v>1033915.875</v>
      </c>
      <c r="I20" s="9">
        <f t="shared" si="15"/>
        <v>1071915.875</v>
      </c>
      <c r="J20" s="9">
        <f t="shared" si="15"/>
        <v>1109915.875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7"/>
      <c r="J25" s="82"/>
    </row>
    <row r="26" spans="1:10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0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  <c r="J27" s="75"/>
    </row>
    <row r="28" spans="1:10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  <c r="J28" s="75"/>
    </row>
    <row r="29" spans="1:10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94"/>
  <sheetViews>
    <sheetView topLeftCell="A2" workbookViewId="0">
      <selection activeCell="C10" sqref="C10"/>
    </sheetView>
  </sheetViews>
  <sheetFormatPr baseColWidth="10" defaultColWidth="11.1640625" defaultRowHeight="15" customHeight="1" x14ac:dyDescent="0.2"/>
  <cols>
    <col min="1" max="1" width="34.6640625" customWidth="1"/>
    <col min="2" max="2" width="36.1640625" customWidth="1"/>
    <col min="3" max="3" width="37.1640625" customWidth="1"/>
    <col min="4" max="7" width="10.6640625" customWidth="1"/>
    <col min="8" max="26" width="11.1640625" customWidth="1"/>
  </cols>
  <sheetData>
    <row r="1" spans="1:4" ht="15.75" customHeight="1" x14ac:dyDescent="0.2">
      <c r="A1" s="97" t="s">
        <v>49</v>
      </c>
      <c r="B1" s="98"/>
      <c r="C1" s="98"/>
      <c r="D1" s="52"/>
    </row>
    <row r="2" spans="1:4" ht="80.25" customHeight="1" x14ac:dyDescent="0.2">
      <c r="A2" s="97" t="s">
        <v>50</v>
      </c>
      <c r="B2" s="98"/>
      <c r="C2" s="98"/>
      <c r="D2" s="52"/>
    </row>
    <row r="3" spans="1:4" ht="49" customHeight="1" x14ac:dyDescent="0.2">
      <c r="A3" s="56" t="s">
        <v>51</v>
      </c>
      <c r="B3" s="56" t="s">
        <v>3</v>
      </c>
      <c r="C3" s="57" t="s">
        <v>52</v>
      </c>
      <c r="D3" s="52"/>
    </row>
    <row r="4" spans="1:4" ht="15" customHeight="1" x14ac:dyDescent="0.2">
      <c r="A4" s="102" t="s">
        <v>16</v>
      </c>
      <c r="B4" s="58" t="s">
        <v>53</v>
      </c>
      <c r="C4" s="59">
        <v>100000</v>
      </c>
      <c r="D4" s="52"/>
    </row>
    <row r="5" spans="1:4" ht="15.75" customHeight="1" x14ac:dyDescent="0.2">
      <c r="A5" s="103"/>
      <c r="B5" s="60" t="s">
        <v>54</v>
      </c>
      <c r="C5" s="61">
        <f>(C4)</f>
        <v>100000</v>
      </c>
      <c r="D5" s="52"/>
    </row>
    <row r="6" spans="1:4" ht="15" customHeight="1" x14ac:dyDescent="0.2">
      <c r="A6" s="102" t="s">
        <v>17</v>
      </c>
      <c r="B6" s="58" t="s">
        <v>55</v>
      </c>
      <c r="C6" s="59">
        <v>100000</v>
      </c>
      <c r="D6" s="52"/>
    </row>
    <row r="7" spans="1:4" ht="15.75" customHeight="1" x14ac:dyDescent="0.2">
      <c r="A7" s="103"/>
      <c r="B7" s="60" t="s">
        <v>56</v>
      </c>
      <c r="C7" s="61">
        <f>(C6)</f>
        <v>100000</v>
      </c>
      <c r="D7" s="53"/>
    </row>
    <row r="8" spans="1:4" ht="15" customHeight="1" x14ac:dyDescent="0.2">
      <c r="A8" s="102" t="s">
        <v>18</v>
      </c>
      <c r="B8" s="58" t="s">
        <v>57</v>
      </c>
      <c r="C8" s="59">
        <v>100000</v>
      </c>
      <c r="D8" s="52"/>
    </row>
    <row r="9" spans="1:4" ht="15.75" customHeight="1" x14ac:dyDescent="0.2">
      <c r="A9" s="103"/>
      <c r="B9" s="60" t="s">
        <v>58</v>
      </c>
      <c r="C9" s="61">
        <f>(C8)</f>
        <v>100000</v>
      </c>
      <c r="D9" s="52"/>
    </row>
    <row r="10" spans="1:4" ht="15.75" customHeight="1" x14ac:dyDescent="0.2">
      <c r="A10" s="99" t="s">
        <v>59</v>
      </c>
      <c r="B10" s="98"/>
      <c r="C10" s="62">
        <v>600000</v>
      </c>
      <c r="D10" s="52"/>
    </row>
    <row r="11" spans="1:4" ht="15.75" customHeight="1" x14ac:dyDescent="0.2">
      <c r="A11" s="99" t="s">
        <v>20</v>
      </c>
      <c r="B11" s="98"/>
      <c r="C11" s="72" t="s">
        <v>21</v>
      </c>
      <c r="D11" s="54">
        <v>10000</v>
      </c>
    </row>
    <row r="12" spans="1:4" ht="15.75" customHeight="1" x14ac:dyDescent="0.2">
      <c r="A12" s="98"/>
      <c r="B12" s="98"/>
      <c r="C12" s="72" t="s">
        <v>22</v>
      </c>
      <c r="D12" s="54">
        <v>5000</v>
      </c>
    </row>
    <row r="13" spans="1:4" ht="15.75" customHeight="1" x14ac:dyDescent="0.2">
      <c r="A13" s="98"/>
      <c r="B13" s="98"/>
      <c r="C13" s="63" t="s">
        <v>23</v>
      </c>
      <c r="D13" s="54">
        <v>5000</v>
      </c>
    </row>
    <row r="14" spans="1:4" ht="15.75" customHeight="1" x14ac:dyDescent="0.2">
      <c r="A14" s="100" t="s">
        <v>24</v>
      </c>
      <c r="B14" s="98"/>
      <c r="C14" s="64" t="s">
        <v>25</v>
      </c>
      <c r="D14" s="54">
        <v>20500</v>
      </c>
    </row>
    <row r="15" spans="1:4" ht="15.75" customHeight="1" x14ac:dyDescent="0.2">
      <c r="A15" s="101"/>
      <c r="B15" s="101"/>
      <c r="C15" s="71" t="s">
        <v>26</v>
      </c>
      <c r="D15" s="55">
        <v>11250</v>
      </c>
    </row>
    <row r="16" spans="1:4" ht="15.75" customHeight="1" x14ac:dyDescent="0.2">
      <c r="A16" s="104" t="s">
        <v>27</v>
      </c>
      <c r="B16" s="104"/>
      <c r="C16" s="104"/>
      <c r="D16" s="104"/>
    </row>
    <row r="17" spans="1:4" ht="15.75" customHeight="1" x14ac:dyDescent="0.2">
      <c r="A17" s="104" t="s">
        <v>28</v>
      </c>
      <c r="B17" s="104"/>
      <c r="C17" s="104"/>
      <c r="D17" s="104"/>
    </row>
    <row r="18" spans="1:4" ht="15.75" customHeight="1" x14ac:dyDescent="0.2">
      <c r="A18" s="105" t="s">
        <v>29</v>
      </c>
      <c r="B18" s="105"/>
      <c r="C18" s="105"/>
      <c r="D18" s="105"/>
    </row>
    <row r="19" spans="1:4" ht="15.75" customHeight="1" x14ac:dyDescent="0.2">
      <c r="A19" s="105" t="s">
        <v>30</v>
      </c>
      <c r="B19" s="105"/>
      <c r="C19" s="105"/>
      <c r="D19" s="105"/>
    </row>
    <row r="20" spans="1:4" ht="15.75" customHeight="1" x14ac:dyDescent="0.2">
      <c r="A20" s="105" t="s">
        <v>60</v>
      </c>
      <c r="B20" s="105"/>
      <c r="C20" s="105"/>
      <c r="D20" s="105"/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13">
    <mergeCell ref="A16:D16"/>
    <mergeCell ref="A17:D17"/>
    <mergeCell ref="A18:D18"/>
    <mergeCell ref="A19:D19"/>
    <mergeCell ref="A20:D20"/>
    <mergeCell ref="A1:C1"/>
    <mergeCell ref="A2:C2"/>
    <mergeCell ref="A10:B10"/>
    <mergeCell ref="A11:B13"/>
    <mergeCell ref="A14:B15"/>
    <mergeCell ref="A4:A5"/>
    <mergeCell ref="A6:A7"/>
    <mergeCell ref="A8:A9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>
      <selection sqref="A1:C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3" width="20.6640625" customWidth="1"/>
    <col min="4" max="7" width="10.6640625" customWidth="1"/>
    <col min="8" max="26" width="11.1640625" customWidth="1"/>
  </cols>
  <sheetData>
    <row r="1" spans="1:4" ht="15.75" customHeight="1" x14ac:dyDescent="0.2">
      <c r="A1" s="96" t="s">
        <v>61</v>
      </c>
      <c r="B1" s="74"/>
      <c r="C1" s="75"/>
    </row>
    <row r="2" spans="1:4" ht="80.25" customHeight="1" x14ac:dyDescent="0.2">
      <c r="A2" s="96" t="s">
        <v>62</v>
      </c>
      <c r="B2" s="74"/>
      <c r="C2" s="75"/>
    </row>
    <row r="3" spans="1:4" ht="25.5" customHeight="1" x14ac:dyDescent="0.2">
      <c r="A3" s="1" t="s">
        <v>2</v>
      </c>
      <c r="B3" s="1" t="s">
        <v>3</v>
      </c>
      <c r="C3" s="2" t="s">
        <v>63</v>
      </c>
    </row>
    <row r="4" spans="1:4" ht="15.75" customHeight="1" x14ac:dyDescent="0.2">
      <c r="A4" s="92" t="s">
        <v>16</v>
      </c>
      <c r="B4" s="3" t="s">
        <v>12</v>
      </c>
      <c r="C4" s="4">
        <v>143750</v>
      </c>
    </row>
    <row r="5" spans="1:4" ht="15.75" customHeight="1" x14ac:dyDescent="0.2">
      <c r="A5" s="93"/>
      <c r="B5" s="3" t="s">
        <v>64</v>
      </c>
      <c r="C5" s="4">
        <f>C4*0.5</f>
        <v>71875</v>
      </c>
    </row>
    <row r="6" spans="1:4" ht="15.75" customHeight="1" x14ac:dyDescent="0.2">
      <c r="A6" s="93"/>
      <c r="B6" s="6" t="s">
        <v>14</v>
      </c>
      <c r="C6" s="7">
        <f>(C4-C5)*2*0.95</f>
        <v>136562.5</v>
      </c>
    </row>
    <row r="7" spans="1:4" ht="15.75" customHeight="1" x14ac:dyDescent="0.2">
      <c r="A7" s="94"/>
      <c r="B7" s="6" t="s">
        <v>15</v>
      </c>
      <c r="C7" s="7">
        <f>(C4-C5)</f>
        <v>71875</v>
      </c>
    </row>
    <row r="8" spans="1:4" ht="15.75" customHeight="1" x14ac:dyDescent="0.2">
      <c r="A8" s="92" t="s">
        <v>17</v>
      </c>
      <c r="B8" s="3" t="s">
        <v>12</v>
      </c>
      <c r="C8" s="4">
        <f>C4*1.05</f>
        <v>150937.5</v>
      </c>
    </row>
    <row r="9" spans="1:4" ht="15.75" customHeight="1" x14ac:dyDescent="0.2">
      <c r="A9" s="93"/>
      <c r="B9" s="3" t="s">
        <v>64</v>
      </c>
      <c r="C9" s="4">
        <f>C8*0.5</f>
        <v>75468.75</v>
      </c>
    </row>
    <row r="10" spans="1:4" ht="15.75" customHeight="1" x14ac:dyDescent="0.2">
      <c r="A10" s="93"/>
      <c r="B10" s="6" t="s">
        <v>14</v>
      </c>
      <c r="C10" s="7">
        <f>(C8-C9)*2*0.95</f>
        <v>143390.625</v>
      </c>
    </row>
    <row r="11" spans="1:4" ht="15.75" customHeight="1" x14ac:dyDescent="0.2">
      <c r="A11" s="94"/>
      <c r="B11" s="6" t="s">
        <v>15</v>
      </c>
      <c r="C11" s="7">
        <f>(C8-C9)</f>
        <v>75468.75</v>
      </c>
      <c r="D11" s="8"/>
    </row>
    <row r="12" spans="1:4" ht="15.75" customHeight="1" x14ac:dyDescent="0.2">
      <c r="A12" s="92" t="s">
        <v>18</v>
      </c>
      <c r="B12" s="3" t="s">
        <v>12</v>
      </c>
      <c r="C12" s="4">
        <f>C8*1.05</f>
        <v>158484.375</v>
      </c>
    </row>
    <row r="13" spans="1:4" ht="15.75" customHeight="1" x14ac:dyDescent="0.2">
      <c r="A13" s="93"/>
      <c r="B13" s="3" t="s">
        <v>64</v>
      </c>
      <c r="C13" s="4">
        <f>C12*0.5</f>
        <v>79242.1875</v>
      </c>
    </row>
    <row r="14" spans="1:4" ht="15.75" customHeight="1" x14ac:dyDescent="0.2">
      <c r="A14" s="93"/>
      <c r="B14" s="6" t="s">
        <v>14</v>
      </c>
      <c r="C14" s="7">
        <f>(C12-C13)*2*0.95</f>
        <v>150560.15625</v>
      </c>
    </row>
    <row r="15" spans="1:4" ht="15.75" customHeight="1" x14ac:dyDescent="0.2">
      <c r="A15" s="94"/>
      <c r="B15" s="6" t="s">
        <v>15</v>
      </c>
      <c r="C15" s="7">
        <f>(C12-C13)</f>
        <v>79242.1875</v>
      </c>
    </row>
    <row r="16" spans="1:4" ht="15.75" customHeight="1" x14ac:dyDescent="0.2">
      <c r="A16" s="76" t="s">
        <v>19</v>
      </c>
      <c r="B16" s="75"/>
      <c r="C16" s="9">
        <f>SUM(C6,C10,C14)</f>
        <v>430513.28125</v>
      </c>
    </row>
    <row r="17" spans="1:7" ht="15.75" customHeight="1" x14ac:dyDescent="0.2">
      <c r="A17" s="77" t="s">
        <v>20</v>
      </c>
      <c r="B17" s="78"/>
      <c r="C17" s="11" t="s">
        <v>21</v>
      </c>
      <c r="D17" s="12">
        <v>10000</v>
      </c>
    </row>
    <row r="18" spans="1:7" ht="15.75" customHeight="1" x14ac:dyDescent="0.2">
      <c r="A18" s="79"/>
      <c r="B18" s="80"/>
      <c r="C18" s="11" t="s">
        <v>22</v>
      </c>
      <c r="D18" s="12">
        <v>5000</v>
      </c>
    </row>
    <row r="19" spans="1:7" ht="15.75" customHeight="1" x14ac:dyDescent="0.2">
      <c r="A19" s="81"/>
      <c r="B19" s="82"/>
      <c r="C19" s="10" t="s">
        <v>23</v>
      </c>
      <c r="D19" s="12">
        <v>5000</v>
      </c>
    </row>
    <row r="20" spans="1:7" ht="15.75" customHeight="1" x14ac:dyDescent="0.2">
      <c r="A20" s="89" t="s">
        <v>24</v>
      </c>
      <c r="B20" s="78"/>
      <c r="C20" s="13" t="s">
        <v>25</v>
      </c>
      <c r="D20" s="12">
        <v>20500</v>
      </c>
    </row>
    <row r="21" spans="1:7" ht="15.75" customHeight="1" x14ac:dyDescent="0.2">
      <c r="A21" s="79"/>
      <c r="B21" s="80"/>
      <c r="C21" s="14" t="s">
        <v>26</v>
      </c>
      <c r="D21" s="15">
        <v>11250</v>
      </c>
    </row>
    <row r="22" spans="1:7" ht="15.75" customHeight="1" x14ac:dyDescent="0.2">
      <c r="A22" s="73" t="s">
        <v>27</v>
      </c>
      <c r="B22" s="74"/>
      <c r="C22" s="74"/>
      <c r="D22" s="74"/>
      <c r="E22" s="74"/>
      <c r="F22" s="74"/>
      <c r="G22" s="75"/>
    </row>
    <row r="23" spans="1:7" ht="15.75" customHeight="1" x14ac:dyDescent="0.2">
      <c r="A23" s="73" t="s">
        <v>28</v>
      </c>
      <c r="B23" s="74"/>
      <c r="C23" s="74"/>
      <c r="D23" s="74"/>
      <c r="E23" s="74"/>
      <c r="F23" s="74"/>
      <c r="G23" s="75"/>
    </row>
    <row r="24" spans="1:7" ht="15.75" customHeight="1" x14ac:dyDescent="0.2">
      <c r="A24" s="95" t="s">
        <v>29</v>
      </c>
      <c r="B24" s="74"/>
      <c r="C24" s="74"/>
      <c r="D24" s="74"/>
      <c r="E24" s="74"/>
      <c r="F24" s="74"/>
      <c r="G24" s="75"/>
    </row>
    <row r="25" spans="1:7" ht="15.75" customHeight="1" x14ac:dyDescent="0.2">
      <c r="A25" s="95" t="s">
        <v>30</v>
      </c>
      <c r="B25" s="74"/>
      <c r="C25" s="74"/>
      <c r="D25" s="74"/>
      <c r="E25" s="74"/>
      <c r="F25" s="74"/>
      <c r="G25" s="75"/>
    </row>
    <row r="26" spans="1:7" ht="15.75" customHeight="1" x14ac:dyDescent="0.2">
      <c r="A26" s="95" t="s">
        <v>60</v>
      </c>
      <c r="B26" s="74"/>
      <c r="C26" s="74"/>
      <c r="D26" s="74"/>
      <c r="E26" s="74"/>
      <c r="F26" s="74"/>
      <c r="G26" s="75"/>
    </row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A26:G26"/>
    <mergeCell ref="A1:C1"/>
    <mergeCell ref="A2:C2"/>
    <mergeCell ref="A4:A7"/>
    <mergeCell ref="A8:A11"/>
    <mergeCell ref="A12:A15"/>
    <mergeCell ref="A16:B16"/>
    <mergeCell ref="A17:B19"/>
    <mergeCell ref="A20:B21"/>
    <mergeCell ref="A22:G22"/>
    <mergeCell ref="A23:G23"/>
    <mergeCell ref="A24:G24"/>
    <mergeCell ref="A25:G25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>
      <selection sqref="A1:J29"/>
    </sheetView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6" t="s">
        <v>65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ht="80.25" customHeight="1" x14ac:dyDescent="0.2">
      <c r="A2" s="96" t="s">
        <v>66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15.75" customHeight="1" x14ac:dyDescent="0.2">
      <c r="A3" s="1" t="s">
        <v>2</v>
      </c>
      <c r="B3" s="1" t="s">
        <v>3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</row>
    <row r="4" spans="1:10" ht="15.75" customHeight="1" x14ac:dyDescent="0.2">
      <c r="A4" s="92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0" ht="15.75" customHeight="1" x14ac:dyDescent="0.2">
      <c r="A5" s="93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0" ht="15.75" customHeight="1" x14ac:dyDescent="0.2">
      <c r="A6" s="93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0" ht="15.75" customHeight="1" x14ac:dyDescent="0.2">
      <c r="A7" s="94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0" ht="15.75" customHeight="1" x14ac:dyDescent="0.2">
      <c r="A8" s="92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0" ht="15.75" customHeight="1" x14ac:dyDescent="0.2">
      <c r="A9" s="93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0" ht="15.75" customHeight="1" x14ac:dyDescent="0.2">
      <c r="A10" s="93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0" ht="15.75" customHeight="1" x14ac:dyDescent="0.2">
      <c r="A11" s="94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0" ht="15.75" customHeight="1" x14ac:dyDescent="0.2">
      <c r="A12" s="92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0" ht="15.75" customHeight="1" x14ac:dyDescent="0.2">
      <c r="A13" s="93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0" ht="15.75" customHeight="1" x14ac:dyDescent="0.2">
      <c r="A14" s="93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0" ht="15.75" customHeight="1" x14ac:dyDescent="0.2">
      <c r="A15" s="94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93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93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94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7"/>
      <c r="J25" s="82"/>
    </row>
    <row r="26" spans="1:10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0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  <c r="J27" s="75"/>
    </row>
    <row r="28" spans="1:10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  <c r="J28" s="75"/>
    </row>
    <row r="29" spans="1:10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6" t="s">
        <v>75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ht="80.25" customHeight="1" x14ac:dyDescent="0.2">
      <c r="A2" s="96" t="s">
        <v>76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15.75" customHeight="1" x14ac:dyDescent="0.2">
      <c r="A3" s="1" t="s">
        <v>2</v>
      </c>
      <c r="B3" s="1" t="s">
        <v>3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</row>
    <row r="4" spans="1:10" ht="15.75" customHeight="1" x14ac:dyDescent="0.2">
      <c r="A4" s="92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0" ht="15.75" customHeight="1" x14ac:dyDescent="0.2">
      <c r="A5" s="93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0" ht="15.75" customHeight="1" x14ac:dyDescent="0.2">
      <c r="A6" s="93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0" ht="15.75" customHeight="1" x14ac:dyDescent="0.2">
      <c r="A7" s="94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0" ht="15.75" customHeight="1" x14ac:dyDescent="0.2">
      <c r="A8" s="92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0" ht="15.75" customHeight="1" x14ac:dyDescent="0.2">
      <c r="A9" s="93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0" ht="15.75" customHeight="1" x14ac:dyDescent="0.2">
      <c r="A10" s="93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0" ht="15.75" customHeight="1" x14ac:dyDescent="0.2">
      <c r="A11" s="94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0" ht="15.75" customHeight="1" x14ac:dyDescent="0.2">
      <c r="A12" s="92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0" ht="15.75" customHeight="1" x14ac:dyDescent="0.2">
      <c r="A13" s="93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0" ht="15.75" customHeight="1" x14ac:dyDescent="0.2">
      <c r="A14" s="93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0" ht="15.75" customHeight="1" x14ac:dyDescent="0.2">
      <c r="A15" s="94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93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93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94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7"/>
      <c r="J25" s="82"/>
    </row>
    <row r="26" spans="1:10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0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  <c r="J27" s="75"/>
    </row>
    <row r="28" spans="1:10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  <c r="J28" s="75"/>
    </row>
    <row r="29" spans="1:10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1" ht="15.75" customHeight="1" x14ac:dyDescent="0.2">
      <c r="A1" s="96" t="s">
        <v>77</v>
      </c>
      <c r="B1" s="74"/>
      <c r="C1" s="74"/>
      <c r="D1" s="74"/>
      <c r="E1" s="74"/>
      <c r="F1" s="74"/>
      <c r="G1" s="74"/>
      <c r="H1" s="74"/>
      <c r="I1" s="74"/>
      <c r="J1" s="75"/>
    </row>
    <row r="2" spans="1:11" ht="52.5" customHeight="1" x14ac:dyDescent="0.2">
      <c r="A2" s="96" t="s">
        <v>78</v>
      </c>
      <c r="B2" s="74"/>
      <c r="C2" s="74"/>
      <c r="D2" s="74"/>
      <c r="E2" s="74"/>
      <c r="F2" s="74"/>
      <c r="G2" s="74"/>
      <c r="H2" s="74"/>
      <c r="I2" s="74"/>
      <c r="J2" s="75"/>
    </row>
    <row r="3" spans="1:11" ht="15.75" customHeight="1" x14ac:dyDescent="0.2">
      <c r="A3" s="1" t="s">
        <v>2</v>
      </c>
      <c r="B3" s="1" t="s">
        <v>3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</row>
    <row r="4" spans="1:11" ht="15.75" customHeight="1" x14ac:dyDescent="0.2">
      <c r="A4" s="92" t="s">
        <v>11</v>
      </c>
      <c r="B4" s="3" t="s">
        <v>12</v>
      </c>
      <c r="C4" s="4">
        <v>147700</v>
      </c>
      <c r="D4" s="4">
        <f t="shared" ref="D4:J4" si="0">C4</f>
        <v>147700</v>
      </c>
      <c r="E4" s="4">
        <f t="shared" si="0"/>
        <v>147700</v>
      </c>
      <c r="F4" s="4">
        <f t="shared" si="0"/>
        <v>147700</v>
      </c>
      <c r="G4" s="4">
        <f t="shared" si="0"/>
        <v>147700</v>
      </c>
      <c r="H4" s="4">
        <f t="shared" si="0"/>
        <v>147700</v>
      </c>
      <c r="I4" s="4">
        <f t="shared" si="0"/>
        <v>147700</v>
      </c>
      <c r="J4" s="4">
        <f t="shared" si="0"/>
        <v>147700</v>
      </c>
    </row>
    <row r="5" spans="1:11" ht="15.75" customHeight="1" x14ac:dyDescent="0.2">
      <c r="A5" s="93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1" ht="15.75" customHeight="1" x14ac:dyDescent="0.2">
      <c r="A6" s="93"/>
      <c r="B6" s="6" t="s">
        <v>14</v>
      </c>
      <c r="C6" s="7">
        <f t="shared" ref="C6:J6" si="1">(C4-C5)*2*0.95</f>
        <v>160930</v>
      </c>
      <c r="D6" s="7">
        <f t="shared" si="1"/>
        <v>179930</v>
      </c>
      <c r="E6" s="7">
        <f t="shared" si="1"/>
        <v>198930</v>
      </c>
      <c r="F6" s="7">
        <f t="shared" si="1"/>
        <v>208430</v>
      </c>
      <c r="G6" s="7">
        <f t="shared" si="1"/>
        <v>217930</v>
      </c>
      <c r="H6" s="7">
        <f t="shared" si="1"/>
        <v>227430</v>
      </c>
      <c r="I6" s="7">
        <f t="shared" si="1"/>
        <v>236930</v>
      </c>
      <c r="J6" s="7">
        <f t="shared" si="1"/>
        <v>246430</v>
      </c>
    </row>
    <row r="7" spans="1:11" ht="15.75" customHeight="1" x14ac:dyDescent="0.2">
      <c r="A7" s="94"/>
      <c r="B7" s="6" t="s">
        <v>15</v>
      </c>
      <c r="C7" s="7">
        <f t="shared" ref="C7:J7" si="2">(C4-C5)</f>
        <v>84700</v>
      </c>
      <c r="D7" s="7">
        <f t="shared" si="2"/>
        <v>94700</v>
      </c>
      <c r="E7" s="7">
        <f t="shared" si="2"/>
        <v>104700</v>
      </c>
      <c r="F7" s="7">
        <f t="shared" si="2"/>
        <v>109700</v>
      </c>
      <c r="G7" s="7">
        <f t="shared" si="2"/>
        <v>114700</v>
      </c>
      <c r="H7" s="7">
        <f t="shared" si="2"/>
        <v>119700</v>
      </c>
      <c r="I7" s="7">
        <f t="shared" si="2"/>
        <v>124700</v>
      </c>
      <c r="J7" s="7">
        <f t="shared" si="2"/>
        <v>129700</v>
      </c>
    </row>
    <row r="8" spans="1:11" ht="15.75" customHeight="1" x14ac:dyDescent="0.2">
      <c r="A8" s="92" t="s">
        <v>16</v>
      </c>
      <c r="B8" s="3" t="s">
        <v>12</v>
      </c>
      <c r="C8" s="4">
        <v>153000</v>
      </c>
      <c r="D8" s="4">
        <f t="shared" ref="D8:J8" si="3">C8</f>
        <v>153000</v>
      </c>
      <c r="E8" s="4">
        <f t="shared" si="3"/>
        <v>153000</v>
      </c>
      <c r="F8" s="4">
        <f t="shared" si="3"/>
        <v>153000</v>
      </c>
      <c r="G8" s="4">
        <f t="shared" si="3"/>
        <v>153000</v>
      </c>
      <c r="H8" s="4">
        <f t="shared" si="3"/>
        <v>153000</v>
      </c>
      <c r="I8" s="4">
        <f t="shared" si="3"/>
        <v>153000</v>
      </c>
      <c r="J8" s="4">
        <f t="shared" si="3"/>
        <v>153000</v>
      </c>
    </row>
    <row r="9" spans="1:11" ht="15.75" customHeight="1" x14ac:dyDescent="0.2">
      <c r="A9" s="93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1" ht="15.75" customHeight="1" x14ac:dyDescent="0.2">
      <c r="A10" s="93"/>
      <c r="B10" s="6" t="s">
        <v>14</v>
      </c>
      <c r="C10" s="7">
        <f t="shared" ref="C10:J10" si="5">(C8-C9)*2*0.95</f>
        <v>171000</v>
      </c>
      <c r="D10" s="7">
        <f t="shared" si="5"/>
        <v>190000</v>
      </c>
      <c r="E10" s="7">
        <f t="shared" si="5"/>
        <v>209000</v>
      </c>
      <c r="F10" s="7">
        <f t="shared" si="5"/>
        <v>218500</v>
      </c>
      <c r="G10" s="7">
        <f t="shared" si="5"/>
        <v>228000</v>
      </c>
      <c r="H10" s="7">
        <f t="shared" si="5"/>
        <v>237500</v>
      </c>
      <c r="I10" s="7">
        <f t="shared" si="5"/>
        <v>247000</v>
      </c>
      <c r="J10" s="7">
        <f t="shared" si="5"/>
        <v>256500</v>
      </c>
    </row>
    <row r="11" spans="1:11" ht="15.75" customHeight="1" x14ac:dyDescent="0.2">
      <c r="A11" s="94"/>
      <c r="B11" s="6" t="s">
        <v>15</v>
      </c>
      <c r="C11" s="7">
        <f t="shared" ref="C11:J11" si="6">(C8-C9)</f>
        <v>90000</v>
      </c>
      <c r="D11" s="7">
        <f t="shared" si="6"/>
        <v>100000</v>
      </c>
      <c r="E11" s="7">
        <f t="shared" si="6"/>
        <v>110000</v>
      </c>
      <c r="F11" s="7">
        <f t="shared" si="6"/>
        <v>115000</v>
      </c>
      <c r="G11" s="7">
        <f t="shared" si="6"/>
        <v>120000</v>
      </c>
      <c r="H11" s="7">
        <f t="shared" si="6"/>
        <v>125000</v>
      </c>
      <c r="I11" s="7">
        <f t="shared" si="6"/>
        <v>130000</v>
      </c>
      <c r="J11" s="7">
        <f t="shared" si="6"/>
        <v>135000</v>
      </c>
    </row>
    <row r="12" spans="1:11" ht="15.75" customHeight="1" x14ac:dyDescent="0.2">
      <c r="A12" s="92" t="s">
        <v>17</v>
      </c>
      <c r="B12" s="3" t="s">
        <v>12</v>
      </c>
      <c r="C12" s="4">
        <f>C8*1.05</f>
        <v>160650</v>
      </c>
      <c r="D12" s="4">
        <f t="shared" ref="D12:J12" si="7">C12</f>
        <v>160650</v>
      </c>
      <c r="E12" s="4">
        <f t="shared" si="7"/>
        <v>160650</v>
      </c>
      <c r="F12" s="4">
        <f t="shared" si="7"/>
        <v>160650</v>
      </c>
      <c r="G12" s="4">
        <f t="shared" si="7"/>
        <v>160650</v>
      </c>
      <c r="H12" s="4">
        <f t="shared" si="7"/>
        <v>160650</v>
      </c>
      <c r="I12" s="4">
        <f t="shared" si="7"/>
        <v>160650</v>
      </c>
      <c r="J12" s="4">
        <f t="shared" si="7"/>
        <v>160650</v>
      </c>
    </row>
    <row r="13" spans="1:11" ht="15.75" customHeight="1" x14ac:dyDescent="0.2">
      <c r="A13" s="93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  <c r="K13" s="8"/>
    </row>
    <row r="14" spans="1:11" ht="15.75" customHeight="1" x14ac:dyDescent="0.2">
      <c r="A14" s="93"/>
      <c r="B14" s="6" t="s">
        <v>14</v>
      </c>
      <c r="C14" s="7">
        <f t="shared" ref="C14:J14" si="9">ROUNDUP((C12-C13)*2*0.95,0)</f>
        <v>185535</v>
      </c>
      <c r="D14" s="7">
        <f t="shared" si="9"/>
        <v>204535</v>
      </c>
      <c r="E14" s="7">
        <f t="shared" si="9"/>
        <v>223535</v>
      </c>
      <c r="F14" s="7">
        <f t="shared" si="9"/>
        <v>233035</v>
      </c>
      <c r="G14" s="7">
        <f t="shared" si="9"/>
        <v>242535</v>
      </c>
      <c r="H14" s="7">
        <f t="shared" si="9"/>
        <v>252035</v>
      </c>
      <c r="I14" s="7">
        <f t="shared" si="9"/>
        <v>261535</v>
      </c>
      <c r="J14" s="7">
        <f t="shared" si="9"/>
        <v>271035</v>
      </c>
    </row>
    <row r="15" spans="1:11" ht="15.75" customHeight="1" x14ac:dyDescent="0.2">
      <c r="A15" s="94"/>
      <c r="B15" s="6" t="s">
        <v>15</v>
      </c>
      <c r="C15" s="7">
        <f t="shared" ref="C15:J15" si="10">(C12-C13)</f>
        <v>97650</v>
      </c>
      <c r="D15" s="7">
        <f t="shared" si="10"/>
        <v>107650</v>
      </c>
      <c r="E15" s="7">
        <f t="shared" si="10"/>
        <v>117650</v>
      </c>
      <c r="F15" s="7">
        <f t="shared" si="10"/>
        <v>122650</v>
      </c>
      <c r="G15" s="7">
        <f t="shared" si="10"/>
        <v>127650</v>
      </c>
      <c r="H15" s="7">
        <f t="shared" si="10"/>
        <v>132650</v>
      </c>
      <c r="I15" s="7">
        <f t="shared" si="10"/>
        <v>137650</v>
      </c>
      <c r="J15" s="7">
        <f t="shared" si="10"/>
        <v>142650</v>
      </c>
    </row>
    <row r="16" spans="1:11" ht="15.75" customHeight="1" x14ac:dyDescent="0.2">
      <c r="A16" s="92" t="s">
        <v>18</v>
      </c>
      <c r="B16" s="3" t="s">
        <v>12</v>
      </c>
      <c r="C16" s="4">
        <f>C12*1.05</f>
        <v>168682.5</v>
      </c>
      <c r="D16" s="4">
        <f t="shared" ref="D16:J16" si="11">C16</f>
        <v>168682.5</v>
      </c>
      <c r="E16" s="4">
        <f t="shared" si="11"/>
        <v>168682.5</v>
      </c>
      <c r="F16" s="4">
        <f t="shared" si="11"/>
        <v>168682.5</v>
      </c>
      <c r="G16" s="4">
        <f t="shared" si="11"/>
        <v>168682.5</v>
      </c>
      <c r="H16" s="4">
        <f t="shared" si="11"/>
        <v>168682.5</v>
      </c>
      <c r="I16" s="4">
        <f t="shared" si="11"/>
        <v>168682.5</v>
      </c>
      <c r="J16" s="4">
        <f t="shared" si="11"/>
        <v>168682.5</v>
      </c>
    </row>
    <row r="17" spans="1:10" ht="15.75" customHeight="1" x14ac:dyDescent="0.2">
      <c r="A17" s="93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93"/>
      <c r="B18" s="6" t="s">
        <v>14</v>
      </c>
      <c r="C18" s="7">
        <f t="shared" ref="C18:J18" si="13">ROUNDUP((C16-C17)*2*0.95,0)</f>
        <v>200797</v>
      </c>
      <c r="D18" s="7">
        <f t="shared" si="13"/>
        <v>219797</v>
      </c>
      <c r="E18" s="7">
        <f t="shared" si="13"/>
        <v>238797</v>
      </c>
      <c r="F18" s="7">
        <f t="shared" si="13"/>
        <v>248297</v>
      </c>
      <c r="G18" s="7">
        <f t="shared" si="13"/>
        <v>257797</v>
      </c>
      <c r="H18" s="7">
        <f t="shared" si="13"/>
        <v>267297</v>
      </c>
      <c r="I18" s="7">
        <f t="shared" si="13"/>
        <v>276797</v>
      </c>
      <c r="J18" s="7">
        <f t="shared" si="13"/>
        <v>286297</v>
      </c>
    </row>
    <row r="19" spans="1:10" ht="15.75" customHeight="1" x14ac:dyDescent="0.2">
      <c r="A19" s="94"/>
      <c r="B19" s="6" t="s">
        <v>15</v>
      </c>
      <c r="C19" s="7">
        <f t="shared" ref="C19:J19" si="14">(C16-C17)</f>
        <v>105682.5</v>
      </c>
      <c r="D19" s="7">
        <f t="shared" si="14"/>
        <v>115682.5</v>
      </c>
      <c r="E19" s="7">
        <f t="shared" si="14"/>
        <v>125682.5</v>
      </c>
      <c r="F19" s="7">
        <f t="shared" si="14"/>
        <v>130682.5</v>
      </c>
      <c r="G19" s="7">
        <f t="shared" si="14"/>
        <v>135682.5</v>
      </c>
      <c r="H19" s="7">
        <f t="shared" si="14"/>
        <v>140682.5</v>
      </c>
      <c r="I19" s="7">
        <f t="shared" si="14"/>
        <v>145682.5</v>
      </c>
      <c r="J19" s="7">
        <f t="shared" si="14"/>
        <v>150682.5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718262</v>
      </c>
      <c r="D20" s="9">
        <f t="shared" si="15"/>
        <v>794262</v>
      </c>
      <c r="E20" s="9">
        <f t="shared" si="15"/>
        <v>870262</v>
      </c>
      <c r="F20" s="9">
        <f t="shared" si="15"/>
        <v>908262</v>
      </c>
      <c r="G20" s="9">
        <f t="shared" si="15"/>
        <v>946262</v>
      </c>
      <c r="H20" s="9">
        <f t="shared" si="15"/>
        <v>984262</v>
      </c>
      <c r="I20" s="9">
        <f t="shared" si="15"/>
        <v>1022262</v>
      </c>
      <c r="J20" s="9">
        <f t="shared" si="15"/>
        <v>1060262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7"/>
      <c r="J25" s="82"/>
    </row>
    <row r="26" spans="1:10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0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  <c r="J27" s="75"/>
    </row>
    <row r="28" spans="1:10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  <c r="J28" s="75"/>
    </row>
    <row r="29" spans="1:10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2" ht="15.75" customHeight="1" x14ac:dyDescent="0.2">
      <c r="A1" s="96" t="s">
        <v>79</v>
      </c>
      <c r="B1" s="74"/>
      <c r="C1" s="74"/>
      <c r="D1" s="74"/>
      <c r="E1" s="74"/>
      <c r="F1" s="74"/>
      <c r="G1" s="74"/>
      <c r="H1" s="74"/>
      <c r="I1" s="74"/>
      <c r="J1" s="75"/>
    </row>
    <row r="2" spans="1:12" ht="52.5" customHeight="1" x14ac:dyDescent="0.2">
      <c r="A2" s="96" t="s">
        <v>80</v>
      </c>
      <c r="B2" s="74"/>
      <c r="C2" s="74"/>
      <c r="D2" s="74"/>
      <c r="E2" s="74"/>
      <c r="F2" s="74"/>
      <c r="G2" s="74"/>
      <c r="H2" s="74"/>
      <c r="I2" s="74"/>
      <c r="J2" s="75"/>
    </row>
    <row r="3" spans="1:12" ht="15.75" customHeight="1" x14ac:dyDescent="0.2">
      <c r="A3" s="1" t="s">
        <v>2</v>
      </c>
      <c r="B3" s="1" t="s">
        <v>3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</row>
    <row r="4" spans="1:12" ht="15.75" customHeight="1" x14ac:dyDescent="0.2">
      <c r="A4" s="92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2" ht="15.75" customHeight="1" x14ac:dyDescent="0.2">
      <c r="A5" s="93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2" ht="15.75" customHeight="1" x14ac:dyDescent="0.2">
      <c r="A6" s="93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2" ht="15.75" customHeight="1" x14ac:dyDescent="0.2">
      <c r="A7" s="94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2" ht="15.75" customHeight="1" x14ac:dyDescent="0.2">
      <c r="A8" s="92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2" ht="15.75" customHeight="1" x14ac:dyDescent="0.2">
      <c r="A9" s="93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2" ht="15.75" customHeight="1" x14ac:dyDescent="0.2">
      <c r="A10" s="93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2" ht="15.75" customHeight="1" x14ac:dyDescent="0.2">
      <c r="A11" s="94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2" ht="15.75" customHeight="1" x14ac:dyDescent="0.2">
      <c r="A12" s="92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2" ht="15.75" customHeight="1" x14ac:dyDescent="0.2">
      <c r="A13" s="93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  <c r="L13" s="8"/>
    </row>
    <row r="14" spans="1:12" ht="15.75" customHeight="1" x14ac:dyDescent="0.2">
      <c r="A14" s="93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2" ht="15.75" customHeight="1" x14ac:dyDescent="0.2">
      <c r="A15" s="94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2" ht="15.75" customHeight="1" x14ac:dyDescent="0.2">
      <c r="A16" s="92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93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93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94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7"/>
      <c r="J25" s="82"/>
    </row>
    <row r="26" spans="1:10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0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  <c r="J27" s="75"/>
    </row>
    <row r="28" spans="1:10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  <c r="J28" s="75"/>
    </row>
    <row r="29" spans="1:10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0"/>
  <sheetViews>
    <sheetView topLeftCell="A10" workbookViewId="0">
      <selection sqref="A1:J1"/>
    </sheetView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6" t="s">
        <v>81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ht="120" customHeight="1" x14ac:dyDescent="0.2">
      <c r="A2" s="96" t="s">
        <v>82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15.75" customHeight="1" x14ac:dyDescent="0.2">
      <c r="A3" s="1" t="s">
        <v>2</v>
      </c>
      <c r="B3" s="1" t="s">
        <v>3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</row>
    <row r="4" spans="1:10" ht="15.75" customHeight="1" x14ac:dyDescent="0.2">
      <c r="A4" s="92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0" ht="15.75" customHeight="1" x14ac:dyDescent="0.2">
      <c r="A5" s="93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0" ht="15.75" customHeight="1" x14ac:dyDescent="0.2">
      <c r="A6" s="93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0" ht="15.75" customHeight="1" x14ac:dyDescent="0.2">
      <c r="A7" s="94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0" ht="15.75" customHeight="1" x14ac:dyDescent="0.2">
      <c r="A8" s="92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0" ht="15.75" customHeight="1" x14ac:dyDescent="0.2">
      <c r="A9" s="93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0" ht="15.75" customHeight="1" x14ac:dyDescent="0.2">
      <c r="A10" s="93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0" ht="15.75" customHeight="1" x14ac:dyDescent="0.2">
      <c r="A11" s="94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0" ht="15.75" customHeight="1" x14ac:dyDescent="0.2">
      <c r="A12" s="92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0" ht="15.75" customHeight="1" x14ac:dyDescent="0.2">
      <c r="A13" s="93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0" ht="15.75" customHeight="1" x14ac:dyDescent="0.2">
      <c r="A14" s="93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0" ht="15.75" customHeight="1" x14ac:dyDescent="0.2">
      <c r="A15" s="94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93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93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94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7"/>
      <c r="J25" s="82"/>
    </row>
    <row r="26" spans="1:10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0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  <c r="J27" s="75"/>
    </row>
    <row r="28" spans="1:10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  <c r="J28" s="75"/>
    </row>
    <row r="29" spans="1:10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1" ht="15.75" customHeight="1" x14ac:dyDescent="0.2">
      <c r="A1" s="96" t="s">
        <v>83</v>
      </c>
      <c r="B1" s="74"/>
      <c r="C1" s="74"/>
      <c r="D1" s="74"/>
      <c r="E1" s="74"/>
      <c r="F1" s="74"/>
      <c r="G1" s="74"/>
      <c r="H1" s="74"/>
      <c r="I1" s="74"/>
      <c r="J1" s="75"/>
    </row>
    <row r="2" spans="1:11" ht="96" customHeight="1" x14ac:dyDescent="0.2">
      <c r="A2" s="96" t="s">
        <v>84</v>
      </c>
      <c r="B2" s="74"/>
      <c r="C2" s="74"/>
      <c r="D2" s="74"/>
      <c r="E2" s="74"/>
      <c r="F2" s="74"/>
      <c r="G2" s="74"/>
      <c r="H2" s="74"/>
      <c r="I2" s="74"/>
      <c r="J2" s="75"/>
    </row>
    <row r="3" spans="1:11" ht="15.75" customHeight="1" x14ac:dyDescent="0.2">
      <c r="A3" s="1" t="s">
        <v>2</v>
      </c>
      <c r="B3" s="1" t="s">
        <v>3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</row>
    <row r="4" spans="1:11" ht="15.75" customHeight="1" x14ac:dyDescent="0.2">
      <c r="A4" s="92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1" ht="15.75" customHeight="1" x14ac:dyDescent="0.2">
      <c r="A5" s="93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1" ht="15.75" customHeight="1" x14ac:dyDescent="0.2">
      <c r="A6" s="93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1" ht="15.75" customHeight="1" x14ac:dyDescent="0.2">
      <c r="A7" s="94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1" ht="15.75" customHeight="1" x14ac:dyDescent="0.2">
      <c r="A8" s="92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1" ht="15.75" customHeight="1" x14ac:dyDescent="0.2">
      <c r="A9" s="93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  <c r="K9" s="8"/>
    </row>
    <row r="10" spans="1:11" ht="15.75" customHeight="1" x14ac:dyDescent="0.2">
      <c r="A10" s="93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</row>
    <row r="11" spans="1:11" ht="15.75" customHeight="1" x14ac:dyDescent="0.2">
      <c r="A11" s="94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1" ht="15.75" customHeight="1" x14ac:dyDescent="0.2">
      <c r="A12" s="92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1" ht="15.75" customHeight="1" x14ac:dyDescent="0.2">
      <c r="A13" s="93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1" ht="15.75" customHeight="1" x14ac:dyDescent="0.2">
      <c r="A14" s="93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1" ht="15.75" customHeight="1" x14ac:dyDescent="0.2">
      <c r="A15" s="94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1" ht="15.75" customHeight="1" x14ac:dyDescent="0.2">
      <c r="A16" s="92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93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93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94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7"/>
      <c r="J25" s="82"/>
    </row>
    <row r="26" spans="1:10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0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  <c r="J27" s="75"/>
    </row>
    <row r="28" spans="1:10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  <c r="J28" s="75"/>
    </row>
    <row r="29" spans="1:10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1" ht="15.75" customHeight="1" x14ac:dyDescent="0.2">
      <c r="A1" s="96" t="s">
        <v>85</v>
      </c>
      <c r="B1" s="74"/>
      <c r="C1" s="74"/>
      <c r="D1" s="74"/>
      <c r="E1" s="74"/>
      <c r="F1" s="74"/>
      <c r="G1" s="74"/>
      <c r="H1" s="74"/>
      <c r="I1" s="74"/>
      <c r="J1" s="75"/>
    </row>
    <row r="2" spans="1:11" ht="129" customHeight="1" x14ac:dyDescent="0.2">
      <c r="A2" s="96" t="s">
        <v>86</v>
      </c>
      <c r="B2" s="74"/>
      <c r="C2" s="74"/>
      <c r="D2" s="74"/>
      <c r="E2" s="74"/>
      <c r="F2" s="74"/>
      <c r="G2" s="74"/>
      <c r="H2" s="74"/>
      <c r="I2" s="74"/>
      <c r="J2" s="75"/>
    </row>
    <row r="3" spans="1:11" ht="15.75" customHeight="1" x14ac:dyDescent="0.2">
      <c r="A3" s="1" t="s">
        <v>2</v>
      </c>
      <c r="B3" s="1" t="s">
        <v>3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</row>
    <row r="4" spans="1:11" ht="15.75" customHeight="1" x14ac:dyDescent="0.2">
      <c r="A4" s="92" t="s">
        <v>11</v>
      </c>
      <c r="B4" s="3" t="s">
        <v>12</v>
      </c>
      <c r="C4" s="4">
        <v>147700</v>
      </c>
      <c r="D4" s="4">
        <f t="shared" ref="D4:J4" si="0">C4</f>
        <v>147700</v>
      </c>
      <c r="E4" s="4">
        <f t="shared" si="0"/>
        <v>147700</v>
      </c>
      <c r="F4" s="4">
        <f t="shared" si="0"/>
        <v>147700</v>
      </c>
      <c r="G4" s="4">
        <f t="shared" si="0"/>
        <v>147700</v>
      </c>
      <c r="H4" s="4">
        <f t="shared" si="0"/>
        <v>147700</v>
      </c>
      <c r="I4" s="4">
        <f t="shared" si="0"/>
        <v>147700</v>
      </c>
      <c r="J4" s="4">
        <f t="shared" si="0"/>
        <v>147700</v>
      </c>
    </row>
    <row r="5" spans="1:11" ht="15.75" customHeight="1" x14ac:dyDescent="0.2">
      <c r="A5" s="93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1" ht="15.75" customHeight="1" x14ac:dyDescent="0.2">
      <c r="A6" s="93"/>
      <c r="B6" s="6" t="s">
        <v>14</v>
      </c>
      <c r="C6" s="7">
        <f t="shared" ref="C6:J6" si="1">(C4-C5)*2*0.95</f>
        <v>160930</v>
      </c>
      <c r="D6" s="7">
        <f t="shared" si="1"/>
        <v>179930</v>
      </c>
      <c r="E6" s="7">
        <f t="shared" si="1"/>
        <v>198930</v>
      </c>
      <c r="F6" s="7">
        <f t="shared" si="1"/>
        <v>208430</v>
      </c>
      <c r="G6" s="7">
        <f t="shared" si="1"/>
        <v>217930</v>
      </c>
      <c r="H6" s="7">
        <f t="shared" si="1"/>
        <v>227430</v>
      </c>
      <c r="I6" s="7">
        <f t="shared" si="1"/>
        <v>236930</v>
      </c>
      <c r="J6" s="7">
        <f t="shared" si="1"/>
        <v>246430</v>
      </c>
    </row>
    <row r="7" spans="1:11" ht="15.75" customHeight="1" x14ac:dyDescent="0.2">
      <c r="A7" s="94"/>
      <c r="B7" s="6" t="s">
        <v>15</v>
      </c>
      <c r="C7" s="7">
        <f t="shared" ref="C7:J7" si="2">(C4-C5)</f>
        <v>84700</v>
      </c>
      <c r="D7" s="7">
        <f t="shared" si="2"/>
        <v>94700</v>
      </c>
      <c r="E7" s="7">
        <f t="shared" si="2"/>
        <v>104700</v>
      </c>
      <c r="F7" s="7">
        <f t="shared" si="2"/>
        <v>109700</v>
      </c>
      <c r="G7" s="7">
        <f t="shared" si="2"/>
        <v>114700</v>
      </c>
      <c r="H7" s="7">
        <f t="shared" si="2"/>
        <v>119700</v>
      </c>
      <c r="I7" s="7">
        <f t="shared" si="2"/>
        <v>124700</v>
      </c>
      <c r="J7" s="7">
        <f t="shared" si="2"/>
        <v>129700</v>
      </c>
    </row>
    <row r="8" spans="1:11" ht="15.75" customHeight="1" x14ac:dyDescent="0.2">
      <c r="A8" s="92" t="s">
        <v>16</v>
      </c>
      <c r="B8" s="3" t="s">
        <v>12</v>
      </c>
      <c r="C8" s="4">
        <v>153000</v>
      </c>
      <c r="D8" s="4">
        <f t="shared" ref="D8:J8" si="3">C8</f>
        <v>153000</v>
      </c>
      <c r="E8" s="4">
        <f t="shared" si="3"/>
        <v>153000</v>
      </c>
      <c r="F8" s="4">
        <f t="shared" si="3"/>
        <v>153000</v>
      </c>
      <c r="G8" s="4">
        <f t="shared" si="3"/>
        <v>153000</v>
      </c>
      <c r="H8" s="4">
        <f t="shared" si="3"/>
        <v>153000</v>
      </c>
      <c r="I8" s="4">
        <f t="shared" si="3"/>
        <v>153000</v>
      </c>
      <c r="J8" s="4">
        <f t="shared" si="3"/>
        <v>153000</v>
      </c>
    </row>
    <row r="9" spans="1:11" ht="15.75" customHeight="1" x14ac:dyDescent="0.2">
      <c r="A9" s="93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  <c r="K9" s="8"/>
    </row>
    <row r="10" spans="1:11" ht="15.75" customHeight="1" x14ac:dyDescent="0.2">
      <c r="A10" s="93"/>
      <c r="B10" s="6" t="s">
        <v>14</v>
      </c>
      <c r="C10" s="7">
        <f t="shared" ref="C10:J10" si="5">(C8-C9)*2*0.95</f>
        <v>171000</v>
      </c>
      <c r="D10" s="7">
        <f t="shared" si="5"/>
        <v>190000</v>
      </c>
      <c r="E10" s="7">
        <f t="shared" si="5"/>
        <v>209000</v>
      </c>
      <c r="F10" s="7">
        <f t="shared" si="5"/>
        <v>218500</v>
      </c>
      <c r="G10" s="7">
        <f t="shared" si="5"/>
        <v>228000</v>
      </c>
      <c r="H10" s="7">
        <f t="shared" si="5"/>
        <v>237500</v>
      </c>
      <c r="I10" s="7">
        <f t="shared" si="5"/>
        <v>247000</v>
      </c>
      <c r="J10" s="7">
        <f t="shared" si="5"/>
        <v>256500</v>
      </c>
    </row>
    <row r="11" spans="1:11" ht="15.75" customHeight="1" x14ac:dyDescent="0.2">
      <c r="A11" s="94"/>
      <c r="B11" s="6" t="s">
        <v>15</v>
      </c>
      <c r="C11" s="7">
        <f t="shared" ref="C11:J11" si="6">(C8-C9)</f>
        <v>90000</v>
      </c>
      <c r="D11" s="7">
        <f t="shared" si="6"/>
        <v>100000</v>
      </c>
      <c r="E11" s="7">
        <f t="shared" si="6"/>
        <v>110000</v>
      </c>
      <c r="F11" s="7">
        <f t="shared" si="6"/>
        <v>115000</v>
      </c>
      <c r="G11" s="7">
        <f t="shared" si="6"/>
        <v>120000</v>
      </c>
      <c r="H11" s="7">
        <f t="shared" si="6"/>
        <v>125000</v>
      </c>
      <c r="I11" s="7">
        <f t="shared" si="6"/>
        <v>130000</v>
      </c>
      <c r="J11" s="7">
        <f t="shared" si="6"/>
        <v>135000</v>
      </c>
    </row>
    <row r="12" spans="1:11" ht="15.75" customHeight="1" x14ac:dyDescent="0.2">
      <c r="A12" s="92" t="s">
        <v>17</v>
      </c>
      <c r="B12" s="3" t="s">
        <v>12</v>
      </c>
      <c r="C12" s="4">
        <f>C8*1.05</f>
        <v>160650</v>
      </c>
      <c r="D12" s="4">
        <f t="shared" ref="D12:J12" si="7">C12</f>
        <v>160650</v>
      </c>
      <c r="E12" s="4">
        <f t="shared" si="7"/>
        <v>160650</v>
      </c>
      <c r="F12" s="4">
        <f t="shared" si="7"/>
        <v>160650</v>
      </c>
      <c r="G12" s="4">
        <f t="shared" si="7"/>
        <v>160650</v>
      </c>
      <c r="H12" s="4">
        <f t="shared" si="7"/>
        <v>160650</v>
      </c>
      <c r="I12" s="4">
        <f t="shared" si="7"/>
        <v>160650</v>
      </c>
      <c r="J12" s="4">
        <f t="shared" si="7"/>
        <v>160650</v>
      </c>
    </row>
    <row r="13" spans="1:11" ht="15.75" customHeight="1" x14ac:dyDescent="0.2">
      <c r="A13" s="93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1" ht="15.75" customHeight="1" x14ac:dyDescent="0.2">
      <c r="A14" s="93"/>
      <c r="B14" s="6" t="s">
        <v>14</v>
      </c>
      <c r="C14" s="7">
        <f t="shared" ref="C14:J14" si="9">ROUNDUP((C12-C13)*2*0.95,0)</f>
        <v>185535</v>
      </c>
      <c r="D14" s="7">
        <f t="shared" si="9"/>
        <v>204535</v>
      </c>
      <c r="E14" s="7">
        <f t="shared" si="9"/>
        <v>223535</v>
      </c>
      <c r="F14" s="7">
        <f t="shared" si="9"/>
        <v>233035</v>
      </c>
      <c r="G14" s="7">
        <f t="shared" si="9"/>
        <v>242535</v>
      </c>
      <c r="H14" s="7">
        <f t="shared" si="9"/>
        <v>252035</v>
      </c>
      <c r="I14" s="7">
        <f t="shared" si="9"/>
        <v>261535</v>
      </c>
      <c r="J14" s="7">
        <f t="shared" si="9"/>
        <v>271035</v>
      </c>
    </row>
    <row r="15" spans="1:11" ht="15.75" customHeight="1" x14ac:dyDescent="0.2">
      <c r="A15" s="94"/>
      <c r="B15" s="6" t="s">
        <v>15</v>
      </c>
      <c r="C15" s="7">
        <f t="shared" ref="C15:J15" si="10">(C12-C13)</f>
        <v>97650</v>
      </c>
      <c r="D15" s="7">
        <f t="shared" si="10"/>
        <v>107650</v>
      </c>
      <c r="E15" s="7">
        <f t="shared" si="10"/>
        <v>117650</v>
      </c>
      <c r="F15" s="7">
        <f t="shared" si="10"/>
        <v>122650</v>
      </c>
      <c r="G15" s="7">
        <f t="shared" si="10"/>
        <v>127650</v>
      </c>
      <c r="H15" s="7">
        <f t="shared" si="10"/>
        <v>132650</v>
      </c>
      <c r="I15" s="7">
        <f t="shared" si="10"/>
        <v>137650</v>
      </c>
      <c r="J15" s="7">
        <f t="shared" si="10"/>
        <v>142650</v>
      </c>
    </row>
    <row r="16" spans="1:11" ht="15.75" customHeight="1" x14ac:dyDescent="0.2">
      <c r="A16" s="92" t="s">
        <v>18</v>
      </c>
      <c r="B16" s="3" t="s">
        <v>12</v>
      </c>
      <c r="C16" s="4">
        <f>C12*1.05</f>
        <v>168682.5</v>
      </c>
      <c r="D16" s="4">
        <f t="shared" ref="D16:J16" si="11">C16</f>
        <v>168682.5</v>
      </c>
      <c r="E16" s="4">
        <f t="shared" si="11"/>
        <v>168682.5</v>
      </c>
      <c r="F16" s="4">
        <f t="shared" si="11"/>
        <v>168682.5</v>
      </c>
      <c r="G16" s="4">
        <f t="shared" si="11"/>
        <v>168682.5</v>
      </c>
      <c r="H16" s="4">
        <f t="shared" si="11"/>
        <v>168682.5</v>
      </c>
      <c r="I16" s="4">
        <f t="shared" si="11"/>
        <v>168682.5</v>
      </c>
      <c r="J16" s="4">
        <f t="shared" si="11"/>
        <v>168682.5</v>
      </c>
    </row>
    <row r="17" spans="1:10" ht="15.75" customHeight="1" x14ac:dyDescent="0.2">
      <c r="A17" s="93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93"/>
      <c r="B18" s="6" t="s">
        <v>14</v>
      </c>
      <c r="C18" s="7">
        <f t="shared" ref="C18:J18" si="13">ROUNDUP((C16-C17)*2*0.95,0)</f>
        <v>200797</v>
      </c>
      <c r="D18" s="7">
        <f t="shared" si="13"/>
        <v>219797</v>
      </c>
      <c r="E18" s="7">
        <f t="shared" si="13"/>
        <v>238797</v>
      </c>
      <c r="F18" s="7">
        <f t="shared" si="13"/>
        <v>248297</v>
      </c>
      <c r="G18" s="7">
        <f t="shared" si="13"/>
        <v>257797</v>
      </c>
      <c r="H18" s="7">
        <f t="shared" si="13"/>
        <v>267297</v>
      </c>
      <c r="I18" s="7">
        <f t="shared" si="13"/>
        <v>276797</v>
      </c>
      <c r="J18" s="7">
        <f t="shared" si="13"/>
        <v>286297</v>
      </c>
    </row>
    <row r="19" spans="1:10" ht="15.75" customHeight="1" x14ac:dyDescent="0.2">
      <c r="A19" s="94"/>
      <c r="B19" s="6" t="s">
        <v>15</v>
      </c>
      <c r="C19" s="7">
        <f t="shared" ref="C19:J19" si="14">(C16-C17)</f>
        <v>105682.5</v>
      </c>
      <c r="D19" s="7">
        <f t="shared" si="14"/>
        <v>115682.5</v>
      </c>
      <c r="E19" s="7">
        <f t="shared" si="14"/>
        <v>125682.5</v>
      </c>
      <c r="F19" s="7">
        <f t="shared" si="14"/>
        <v>130682.5</v>
      </c>
      <c r="G19" s="7">
        <f t="shared" si="14"/>
        <v>135682.5</v>
      </c>
      <c r="H19" s="7">
        <f t="shared" si="14"/>
        <v>140682.5</v>
      </c>
      <c r="I19" s="7">
        <f t="shared" si="14"/>
        <v>145682.5</v>
      </c>
      <c r="J19" s="7">
        <f t="shared" si="14"/>
        <v>150682.5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718262</v>
      </c>
      <c r="D20" s="9">
        <f t="shared" si="15"/>
        <v>794262</v>
      </c>
      <c r="E20" s="9">
        <f t="shared" si="15"/>
        <v>870262</v>
      </c>
      <c r="F20" s="9">
        <f t="shared" si="15"/>
        <v>908262</v>
      </c>
      <c r="G20" s="9">
        <f t="shared" si="15"/>
        <v>946262</v>
      </c>
      <c r="H20" s="9">
        <f t="shared" si="15"/>
        <v>984262</v>
      </c>
      <c r="I20" s="9">
        <f t="shared" si="15"/>
        <v>1022262</v>
      </c>
      <c r="J20" s="9">
        <f t="shared" si="15"/>
        <v>1060262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7"/>
      <c r="J25" s="82"/>
    </row>
    <row r="26" spans="1:10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0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  <c r="J27" s="75"/>
    </row>
    <row r="28" spans="1:10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  <c r="J28" s="75"/>
    </row>
    <row r="29" spans="1:10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workbookViewId="0"/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2" ht="15.75" customHeight="1" x14ac:dyDescent="0.2">
      <c r="A1" s="96" t="s">
        <v>87</v>
      </c>
      <c r="B1" s="74"/>
      <c r="C1" s="74"/>
      <c r="D1" s="74"/>
      <c r="E1" s="74"/>
      <c r="F1" s="74"/>
      <c r="G1" s="74"/>
      <c r="H1" s="74"/>
      <c r="I1" s="74"/>
      <c r="J1" s="75"/>
    </row>
    <row r="2" spans="1:12" ht="52.5" customHeight="1" x14ac:dyDescent="0.2">
      <c r="A2" s="96" t="s">
        <v>88</v>
      </c>
      <c r="B2" s="74"/>
      <c r="C2" s="74"/>
      <c r="D2" s="74"/>
      <c r="E2" s="74"/>
      <c r="F2" s="74"/>
      <c r="G2" s="74"/>
      <c r="H2" s="74"/>
      <c r="I2" s="74"/>
      <c r="J2" s="75"/>
    </row>
    <row r="3" spans="1:12" ht="15.75" customHeight="1" x14ac:dyDescent="0.2">
      <c r="A3" s="1" t="s">
        <v>2</v>
      </c>
      <c r="B3" s="1" t="s">
        <v>3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74</v>
      </c>
    </row>
    <row r="4" spans="1:12" ht="15.75" customHeight="1" x14ac:dyDescent="0.2">
      <c r="A4" s="92" t="s">
        <v>11</v>
      </c>
      <c r="B4" s="3" t="s">
        <v>12</v>
      </c>
      <c r="C4" s="4">
        <v>140700</v>
      </c>
      <c r="D4" s="4">
        <f t="shared" ref="D4:J4" si="0">C4</f>
        <v>140700</v>
      </c>
      <c r="E4" s="4">
        <f t="shared" si="0"/>
        <v>140700</v>
      </c>
      <c r="F4" s="4">
        <f t="shared" si="0"/>
        <v>140700</v>
      </c>
      <c r="G4" s="4">
        <f t="shared" si="0"/>
        <v>140700</v>
      </c>
      <c r="H4" s="4">
        <f t="shared" si="0"/>
        <v>140700</v>
      </c>
      <c r="I4" s="4">
        <f t="shared" si="0"/>
        <v>140700</v>
      </c>
      <c r="J4" s="4">
        <f t="shared" si="0"/>
        <v>140700</v>
      </c>
    </row>
    <row r="5" spans="1:12" ht="15.75" customHeight="1" x14ac:dyDescent="0.2">
      <c r="A5" s="93"/>
      <c r="B5" s="3" t="s">
        <v>13</v>
      </c>
      <c r="C5" s="5">
        <v>63000</v>
      </c>
      <c r="D5" s="5">
        <v>53000</v>
      </c>
      <c r="E5" s="5">
        <v>43000</v>
      </c>
      <c r="F5" s="5">
        <v>38000</v>
      </c>
      <c r="G5" s="5">
        <v>33000</v>
      </c>
      <c r="H5" s="5">
        <v>28000</v>
      </c>
      <c r="I5" s="5">
        <v>23000</v>
      </c>
      <c r="J5" s="5">
        <v>18000</v>
      </c>
    </row>
    <row r="6" spans="1:12" ht="15.75" customHeight="1" x14ac:dyDescent="0.2">
      <c r="A6" s="93"/>
      <c r="B6" s="6" t="s">
        <v>14</v>
      </c>
      <c r="C6" s="7">
        <f t="shared" ref="C6:J6" si="1">(C4-C5)*2*0.95</f>
        <v>147630</v>
      </c>
      <c r="D6" s="7">
        <f t="shared" si="1"/>
        <v>166630</v>
      </c>
      <c r="E6" s="7">
        <f t="shared" si="1"/>
        <v>185630</v>
      </c>
      <c r="F6" s="7">
        <f t="shared" si="1"/>
        <v>195130</v>
      </c>
      <c r="G6" s="7">
        <f t="shared" si="1"/>
        <v>204630</v>
      </c>
      <c r="H6" s="7">
        <f t="shared" si="1"/>
        <v>214130</v>
      </c>
      <c r="I6" s="7">
        <f t="shared" si="1"/>
        <v>223630</v>
      </c>
      <c r="J6" s="7">
        <f t="shared" si="1"/>
        <v>233130</v>
      </c>
    </row>
    <row r="7" spans="1:12" ht="15.75" customHeight="1" x14ac:dyDescent="0.2">
      <c r="A7" s="94"/>
      <c r="B7" s="6" t="s">
        <v>15</v>
      </c>
      <c r="C7" s="7">
        <f t="shared" ref="C7:J7" si="2">(C4-C5)</f>
        <v>77700</v>
      </c>
      <c r="D7" s="7">
        <f t="shared" si="2"/>
        <v>87700</v>
      </c>
      <c r="E7" s="7">
        <f t="shared" si="2"/>
        <v>97700</v>
      </c>
      <c r="F7" s="7">
        <f t="shared" si="2"/>
        <v>102700</v>
      </c>
      <c r="G7" s="7">
        <f t="shared" si="2"/>
        <v>107700</v>
      </c>
      <c r="H7" s="7">
        <f t="shared" si="2"/>
        <v>112700</v>
      </c>
      <c r="I7" s="7">
        <f t="shared" si="2"/>
        <v>117700</v>
      </c>
      <c r="J7" s="7">
        <f t="shared" si="2"/>
        <v>122700</v>
      </c>
    </row>
    <row r="8" spans="1:12" ht="15.75" customHeight="1" x14ac:dyDescent="0.2">
      <c r="A8" s="92" t="s">
        <v>16</v>
      </c>
      <c r="B8" s="3" t="s">
        <v>12</v>
      </c>
      <c r="C8" s="4">
        <v>145900</v>
      </c>
      <c r="D8" s="4">
        <f t="shared" ref="D8:J8" si="3">C8</f>
        <v>145900</v>
      </c>
      <c r="E8" s="4">
        <f t="shared" si="3"/>
        <v>145900</v>
      </c>
      <c r="F8" s="4">
        <f t="shared" si="3"/>
        <v>145900</v>
      </c>
      <c r="G8" s="4">
        <f t="shared" si="3"/>
        <v>145900</v>
      </c>
      <c r="H8" s="4">
        <f t="shared" si="3"/>
        <v>145900</v>
      </c>
      <c r="I8" s="4">
        <f t="shared" si="3"/>
        <v>145900</v>
      </c>
      <c r="J8" s="4">
        <f t="shared" si="3"/>
        <v>145900</v>
      </c>
    </row>
    <row r="9" spans="1:12" ht="15.75" customHeight="1" x14ac:dyDescent="0.2">
      <c r="A9" s="93"/>
      <c r="B9" s="3" t="s">
        <v>13</v>
      </c>
      <c r="C9" s="4">
        <f t="shared" ref="C9:J9" si="4">C5</f>
        <v>63000</v>
      </c>
      <c r="D9" s="4">
        <f t="shared" si="4"/>
        <v>53000</v>
      </c>
      <c r="E9" s="4">
        <f t="shared" si="4"/>
        <v>43000</v>
      </c>
      <c r="F9" s="4">
        <f t="shared" si="4"/>
        <v>38000</v>
      </c>
      <c r="G9" s="4">
        <f t="shared" si="4"/>
        <v>33000</v>
      </c>
      <c r="H9" s="4">
        <f t="shared" si="4"/>
        <v>28000</v>
      </c>
      <c r="I9" s="4">
        <f t="shared" si="4"/>
        <v>23000</v>
      </c>
      <c r="J9" s="4">
        <f t="shared" si="4"/>
        <v>18000</v>
      </c>
    </row>
    <row r="10" spans="1:12" ht="15.75" customHeight="1" x14ac:dyDescent="0.2">
      <c r="A10" s="93"/>
      <c r="B10" s="6" t="s">
        <v>14</v>
      </c>
      <c r="C10" s="7">
        <f t="shared" ref="C10:J10" si="5">(C8-C9)*2*0.95</f>
        <v>157510</v>
      </c>
      <c r="D10" s="7">
        <f t="shared" si="5"/>
        <v>176510</v>
      </c>
      <c r="E10" s="7">
        <f t="shared" si="5"/>
        <v>195510</v>
      </c>
      <c r="F10" s="7">
        <f t="shared" si="5"/>
        <v>205010</v>
      </c>
      <c r="G10" s="7">
        <f t="shared" si="5"/>
        <v>214510</v>
      </c>
      <c r="H10" s="7">
        <f t="shared" si="5"/>
        <v>224010</v>
      </c>
      <c r="I10" s="7">
        <f t="shared" si="5"/>
        <v>233510</v>
      </c>
      <c r="J10" s="7">
        <f t="shared" si="5"/>
        <v>243010</v>
      </c>
      <c r="L10" s="8"/>
    </row>
    <row r="11" spans="1:12" ht="15.75" customHeight="1" x14ac:dyDescent="0.2">
      <c r="A11" s="94"/>
      <c r="B11" s="6" t="s">
        <v>15</v>
      </c>
      <c r="C11" s="7">
        <f t="shared" ref="C11:J11" si="6">(C8-C9)</f>
        <v>82900</v>
      </c>
      <c r="D11" s="7">
        <f t="shared" si="6"/>
        <v>92900</v>
      </c>
      <c r="E11" s="7">
        <f t="shared" si="6"/>
        <v>102900</v>
      </c>
      <c r="F11" s="7">
        <f t="shared" si="6"/>
        <v>107900</v>
      </c>
      <c r="G11" s="7">
        <f t="shared" si="6"/>
        <v>112900</v>
      </c>
      <c r="H11" s="7">
        <f t="shared" si="6"/>
        <v>117900</v>
      </c>
      <c r="I11" s="7">
        <f t="shared" si="6"/>
        <v>122900</v>
      </c>
      <c r="J11" s="7">
        <f t="shared" si="6"/>
        <v>127900</v>
      </c>
    </row>
    <row r="12" spans="1:12" ht="15.75" customHeight="1" x14ac:dyDescent="0.2">
      <c r="A12" s="92" t="s">
        <v>17</v>
      </c>
      <c r="B12" s="3" t="s">
        <v>12</v>
      </c>
      <c r="C12" s="4">
        <f>C8*1.05</f>
        <v>153195</v>
      </c>
      <c r="D12" s="4">
        <f t="shared" ref="D12:J12" si="7">C12</f>
        <v>153195</v>
      </c>
      <c r="E12" s="4">
        <f t="shared" si="7"/>
        <v>153195</v>
      </c>
      <c r="F12" s="4">
        <f t="shared" si="7"/>
        <v>153195</v>
      </c>
      <c r="G12" s="4">
        <f t="shared" si="7"/>
        <v>153195</v>
      </c>
      <c r="H12" s="4">
        <f t="shared" si="7"/>
        <v>153195</v>
      </c>
      <c r="I12" s="4">
        <f t="shared" si="7"/>
        <v>153195</v>
      </c>
      <c r="J12" s="4">
        <f t="shared" si="7"/>
        <v>153195</v>
      </c>
    </row>
    <row r="13" spans="1:12" ht="15.75" customHeight="1" x14ac:dyDescent="0.2">
      <c r="A13" s="93"/>
      <c r="B13" s="3" t="s">
        <v>13</v>
      </c>
      <c r="C13" s="4">
        <f t="shared" ref="C13:J13" si="8">C9</f>
        <v>63000</v>
      </c>
      <c r="D13" s="4">
        <f t="shared" si="8"/>
        <v>53000</v>
      </c>
      <c r="E13" s="4">
        <f t="shared" si="8"/>
        <v>43000</v>
      </c>
      <c r="F13" s="4">
        <f t="shared" si="8"/>
        <v>38000</v>
      </c>
      <c r="G13" s="4">
        <f t="shared" si="8"/>
        <v>33000</v>
      </c>
      <c r="H13" s="4">
        <f t="shared" si="8"/>
        <v>28000</v>
      </c>
      <c r="I13" s="4">
        <f t="shared" si="8"/>
        <v>23000</v>
      </c>
      <c r="J13" s="4">
        <f t="shared" si="8"/>
        <v>18000</v>
      </c>
    </row>
    <row r="14" spans="1:12" ht="15.75" customHeight="1" x14ac:dyDescent="0.2">
      <c r="A14" s="93"/>
      <c r="B14" s="6" t="s">
        <v>14</v>
      </c>
      <c r="C14" s="7">
        <f t="shared" ref="C14:J14" si="9">ROUNDUP((C12-C13)*2*0.95,0)</f>
        <v>171371</v>
      </c>
      <c r="D14" s="7">
        <f t="shared" si="9"/>
        <v>190371</v>
      </c>
      <c r="E14" s="7">
        <f t="shared" si="9"/>
        <v>209371</v>
      </c>
      <c r="F14" s="7">
        <f t="shared" si="9"/>
        <v>218871</v>
      </c>
      <c r="G14" s="7">
        <f t="shared" si="9"/>
        <v>228371</v>
      </c>
      <c r="H14" s="7">
        <f t="shared" si="9"/>
        <v>237871</v>
      </c>
      <c r="I14" s="7">
        <f t="shared" si="9"/>
        <v>247371</v>
      </c>
      <c r="J14" s="7">
        <f t="shared" si="9"/>
        <v>256871</v>
      </c>
    </row>
    <row r="15" spans="1:12" ht="15.75" customHeight="1" x14ac:dyDescent="0.2">
      <c r="A15" s="94"/>
      <c r="B15" s="6" t="s">
        <v>15</v>
      </c>
      <c r="C15" s="7">
        <f t="shared" ref="C15:J15" si="10">(C12-C13)</f>
        <v>90195</v>
      </c>
      <c r="D15" s="7">
        <f t="shared" si="10"/>
        <v>100195</v>
      </c>
      <c r="E15" s="7">
        <f t="shared" si="10"/>
        <v>110195</v>
      </c>
      <c r="F15" s="7">
        <f t="shared" si="10"/>
        <v>115195</v>
      </c>
      <c r="G15" s="7">
        <f t="shared" si="10"/>
        <v>120195</v>
      </c>
      <c r="H15" s="7">
        <f t="shared" si="10"/>
        <v>125195</v>
      </c>
      <c r="I15" s="7">
        <f t="shared" si="10"/>
        <v>130195</v>
      </c>
      <c r="J15" s="7">
        <f t="shared" si="10"/>
        <v>135195</v>
      </c>
    </row>
    <row r="16" spans="1:12" ht="15.75" customHeight="1" x14ac:dyDescent="0.2">
      <c r="A16" s="92" t="s">
        <v>18</v>
      </c>
      <c r="B16" s="3" t="s">
        <v>12</v>
      </c>
      <c r="C16" s="4">
        <f>C12*1.05</f>
        <v>160854.75</v>
      </c>
      <c r="D16" s="4">
        <f t="shared" ref="D16:J16" si="11">C16</f>
        <v>160854.75</v>
      </c>
      <c r="E16" s="4">
        <f t="shared" si="11"/>
        <v>160854.75</v>
      </c>
      <c r="F16" s="4">
        <f t="shared" si="11"/>
        <v>160854.75</v>
      </c>
      <c r="G16" s="4">
        <f t="shared" si="11"/>
        <v>160854.75</v>
      </c>
      <c r="H16" s="4">
        <f t="shared" si="11"/>
        <v>160854.75</v>
      </c>
      <c r="I16" s="4">
        <f t="shared" si="11"/>
        <v>160854.75</v>
      </c>
      <c r="J16" s="4">
        <f t="shared" si="11"/>
        <v>160854.75</v>
      </c>
    </row>
    <row r="17" spans="1:10" ht="15.75" customHeight="1" x14ac:dyDescent="0.2">
      <c r="A17" s="93"/>
      <c r="B17" s="3" t="s">
        <v>13</v>
      </c>
      <c r="C17" s="4">
        <f t="shared" ref="C17:J17" si="12">C13</f>
        <v>63000</v>
      </c>
      <c r="D17" s="4">
        <f t="shared" si="12"/>
        <v>53000</v>
      </c>
      <c r="E17" s="4">
        <f t="shared" si="12"/>
        <v>43000</v>
      </c>
      <c r="F17" s="4">
        <f t="shared" si="12"/>
        <v>38000</v>
      </c>
      <c r="G17" s="4">
        <f t="shared" si="12"/>
        <v>33000</v>
      </c>
      <c r="H17" s="4">
        <f t="shared" si="12"/>
        <v>28000</v>
      </c>
      <c r="I17" s="4">
        <f t="shared" si="12"/>
        <v>23000</v>
      </c>
      <c r="J17" s="4">
        <f t="shared" si="12"/>
        <v>18000</v>
      </c>
    </row>
    <row r="18" spans="1:10" ht="15.75" customHeight="1" x14ac:dyDescent="0.2">
      <c r="A18" s="93"/>
      <c r="B18" s="6" t="s">
        <v>14</v>
      </c>
      <c r="C18" s="7">
        <f t="shared" ref="C18:J18" si="13">ROUNDUP((C16-C17)*2*0.95,0)</f>
        <v>185925</v>
      </c>
      <c r="D18" s="7">
        <f t="shared" si="13"/>
        <v>204925</v>
      </c>
      <c r="E18" s="7">
        <f t="shared" si="13"/>
        <v>223925</v>
      </c>
      <c r="F18" s="7">
        <f t="shared" si="13"/>
        <v>233425</v>
      </c>
      <c r="G18" s="7">
        <f t="shared" si="13"/>
        <v>242925</v>
      </c>
      <c r="H18" s="7">
        <f t="shared" si="13"/>
        <v>252425</v>
      </c>
      <c r="I18" s="7">
        <f t="shared" si="13"/>
        <v>261925</v>
      </c>
      <c r="J18" s="7">
        <f t="shared" si="13"/>
        <v>271425</v>
      </c>
    </row>
    <row r="19" spans="1:10" ht="15.75" customHeight="1" x14ac:dyDescent="0.2">
      <c r="A19" s="94"/>
      <c r="B19" s="6" t="s">
        <v>15</v>
      </c>
      <c r="C19" s="7">
        <f t="shared" ref="C19:J19" si="14">(C16-C17)</f>
        <v>97854.75</v>
      </c>
      <c r="D19" s="7">
        <f t="shared" si="14"/>
        <v>107854.75</v>
      </c>
      <c r="E19" s="7">
        <f t="shared" si="14"/>
        <v>117854.75</v>
      </c>
      <c r="F19" s="7">
        <f t="shared" si="14"/>
        <v>122854.75</v>
      </c>
      <c r="G19" s="7">
        <f t="shared" si="14"/>
        <v>127854.75</v>
      </c>
      <c r="H19" s="7">
        <f t="shared" si="14"/>
        <v>132854.75</v>
      </c>
      <c r="I19" s="7">
        <f t="shared" si="14"/>
        <v>137854.75</v>
      </c>
      <c r="J19" s="7">
        <f t="shared" si="14"/>
        <v>142854.75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662436</v>
      </c>
      <c r="D20" s="9">
        <f t="shared" si="15"/>
        <v>738436</v>
      </c>
      <c r="E20" s="9">
        <f t="shared" si="15"/>
        <v>814436</v>
      </c>
      <c r="F20" s="9">
        <f t="shared" si="15"/>
        <v>852436</v>
      </c>
      <c r="G20" s="9">
        <f t="shared" si="15"/>
        <v>890436</v>
      </c>
      <c r="H20" s="9">
        <f t="shared" si="15"/>
        <v>928436</v>
      </c>
      <c r="I20" s="9">
        <f t="shared" si="15"/>
        <v>966436</v>
      </c>
      <c r="J20" s="9">
        <f t="shared" si="15"/>
        <v>1004436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7"/>
      <c r="H25" s="87"/>
      <c r="I25" s="87"/>
      <c r="J25" s="82"/>
    </row>
    <row r="26" spans="1:10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0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  <c r="J27" s="75"/>
    </row>
    <row r="28" spans="1:10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  <c r="J28" s="75"/>
    </row>
    <row r="29" spans="1:10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  <c r="J29" s="75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workbookViewId="0">
      <selection activeCell="K23" sqref="K23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9" ht="15.75" customHeight="1" x14ac:dyDescent="0.2">
      <c r="A1" s="96" t="s">
        <v>89</v>
      </c>
      <c r="B1" s="74"/>
      <c r="C1" s="74"/>
      <c r="D1" s="74"/>
      <c r="E1" s="74"/>
      <c r="F1" s="74"/>
      <c r="G1" s="74"/>
      <c r="H1" s="75"/>
    </row>
    <row r="2" spans="1:9" ht="134.25" customHeight="1" x14ac:dyDescent="0.2">
      <c r="A2" s="96" t="s">
        <v>90</v>
      </c>
      <c r="B2" s="74"/>
      <c r="C2" s="74"/>
      <c r="D2" s="74"/>
      <c r="E2" s="74"/>
      <c r="F2" s="74"/>
      <c r="G2" s="74"/>
      <c r="H2" s="75"/>
    </row>
    <row r="3" spans="1:9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9" ht="15.75" customHeight="1" x14ac:dyDescent="0.2">
      <c r="A4" s="92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9" ht="15.75" customHeight="1" x14ac:dyDescent="0.2">
      <c r="A5" s="93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9" ht="15.75" customHeight="1" x14ac:dyDescent="0.2">
      <c r="A6" s="93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9" ht="15.75" customHeight="1" x14ac:dyDescent="0.2">
      <c r="A7" s="94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9" ht="15.75" customHeight="1" x14ac:dyDescent="0.2">
      <c r="A8" s="92" t="s">
        <v>16</v>
      </c>
      <c r="B8" s="3" t="s">
        <v>12</v>
      </c>
      <c r="C8" s="16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</row>
    <row r="9" spans="1:9" ht="15.75" customHeight="1" x14ac:dyDescent="0.2">
      <c r="A9" s="93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  <c r="I9" s="8"/>
    </row>
    <row r="10" spans="1:9" ht="15.75" customHeight="1" x14ac:dyDescent="0.2">
      <c r="A10" s="93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9" ht="15.75" customHeight="1" x14ac:dyDescent="0.2">
      <c r="A11" s="94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9" ht="15.75" customHeight="1" x14ac:dyDescent="0.2">
      <c r="A12" s="92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9" ht="15.75" customHeight="1" x14ac:dyDescent="0.2">
      <c r="A13" s="93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9" ht="15.75" customHeight="1" x14ac:dyDescent="0.2">
      <c r="A14" s="93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9" ht="15.75" customHeight="1" x14ac:dyDescent="0.2">
      <c r="A15" s="94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9" ht="15.75" customHeight="1" x14ac:dyDescent="0.2">
      <c r="A16" s="92" t="s">
        <v>97</v>
      </c>
      <c r="B16" s="3" t="s">
        <v>12</v>
      </c>
      <c r="C16" s="4">
        <f>C12*1.05</f>
        <v>101430</v>
      </c>
      <c r="D16" s="4">
        <f t="shared" ref="D16:H16" si="11">C16</f>
        <v>101430</v>
      </c>
      <c r="E16" s="4">
        <f t="shared" si="11"/>
        <v>101430</v>
      </c>
      <c r="F16" s="4">
        <f t="shared" si="11"/>
        <v>101430</v>
      </c>
      <c r="G16" s="4">
        <f t="shared" si="11"/>
        <v>101430</v>
      </c>
      <c r="H16" s="4">
        <f t="shared" si="11"/>
        <v>101430</v>
      </c>
    </row>
    <row r="17" spans="1:8" ht="15.75" customHeight="1" x14ac:dyDescent="0.2">
      <c r="A17" s="93"/>
      <c r="B17" s="3" t="s">
        <v>13</v>
      </c>
      <c r="C17" s="4">
        <f t="shared" ref="C17:H17" si="12">C9</f>
        <v>31500</v>
      </c>
      <c r="D17" s="4">
        <f t="shared" si="12"/>
        <v>26300</v>
      </c>
      <c r="E17" s="4">
        <f t="shared" si="12"/>
        <v>15700</v>
      </c>
      <c r="F17" s="4">
        <f t="shared" si="12"/>
        <v>10500</v>
      </c>
      <c r="G17" s="4">
        <f t="shared" si="12"/>
        <v>7800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132867</v>
      </c>
      <c r="D18" s="7">
        <f t="shared" si="13"/>
        <v>142747</v>
      </c>
      <c r="E18" s="7">
        <f t="shared" si="13"/>
        <v>162887</v>
      </c>
      <c r="F18" s="7">
        <f t="shared" si="13"/>
        <v>172767</v>
      </c>
      <c r="G18" s="7">
        <f t="shared" si="13"/>
        <v>177897</v>
      </c>
      <c r="H18" s="7">
        <f t="shared" si="13"/>
        <v>192717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69930</v>
      </c>
      <c r="D19" s="7">
        <f t="shared" si="14"/>
        <v>75130</v>
      </c>
      <c r="E19" s="7">
        <f t="shared" si="14"/>
        <v>85730</v>
      </c>
      <c r="F19" s="7">
        <f t="shared" si="14"/>
        <v>90930</v>
      </c>
      <c r="G19" s="7">
        <f t="shared" si="14"/>
        <v>93630</v>
      </c>
      <c r="H19" s="7">
        <f t="shared" si="14"/>
        <v>101430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482657</v>
      </c>
      <c r="D20" s="9">
        <f t="shared" si="15"/>
        <v>522177</v>
      </c>
      <c r="E20" s="9">
        <f t="shared" si="15"/>
        <v>602737</v>
      </c>
      <c r="F20" s="9">
        <f t="shared" si="15"/>
        <v>642257</v>
      </c>
      <c r="G20" s="9">
        <f t="shared" si="15"/>
        <v>662777</v>
      </c>
      <c r="H20" s="9">
        <f t="shared" si="15"/>
        <v>722057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106" t="s">
        <v>98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27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73" t="s">
        <v>28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29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>
      <c r="A30" s="95" t="s">
        <v>30</v>
      </c>
      <c r="B30" s="74"/>
      <c r="C30" s="74"/>
      <c r="D30" s="74"/>
      <c r="E30" s="74"/>
      <c r="F30" s="74"/>
      <c r="G30" s="74"/>
      <c r="H30" s="75"/>
    </row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30:H30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7A0A-3A63-624A-8888-2B97CD810F24}">
  <dimension ref="A1:N1001"/>
  <sheetViews>
    <sheetView topLeftCell="A2" workbookViewId="0">
      <selection activeCell="A24" sqref="A24:H24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6" t="s">
        <v>99</v>
      </c>
      <c r="B1" s="74"/>
      <c r="C1" s="74"/>
      <c r="D1" s="74"/>
      <c r="E1" s="74"/>
      <c r="F1" s="74"/>
      <c r="G1" s="74"/>
      <c r="H1" s="75"/>
    </row>
    <row r="2" spans="1:14" ht="120.75" customHeight="1" x14ac:dyDescent="0.2">
      <c r="A2" s="96" t="s">
        <v>100</v>
      </c>
      <c r="B2" s="74"/>
      <c r="C2" s="74"/>
      <c r="D2" s="74"/>
      <c r="E2" s="74"/>
      <c r="F2" s="74"/>
      <c r="G2" s="74"/>
      <c r="H2" s="75"/>
    </row>
    <row r="3" spans="1:14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14" ht="15.75" customHeight="1" x14ac:dyDescent="0.2">
      <c r="A4" s="92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93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93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94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92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93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93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94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92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93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93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94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76" t="s">
        <v>19</v>
      </c>
      <c r="B16" s="75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73" t="s">
        <v>101</v>
      </c>
      <c r="B24" s="107"/>
      <c r="C24" s="107"/>
      <c r="D24" s="107"/>
      <c r="E24" s="107"/>
      <c r="F24" s="107"/>
      <c r="G24" s="107"/>
      <c r="H24" s="108"/>
    </row>
    <row r="25" spans="1:8" ht="15.75" customHeight="1" x14ac:dyDescent="0.2">
      <c r="A25" s="95" t="s">
        <v>29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>
      <c r="A26" s="95" t="s">
        <v>30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9">
    <mergeCell ref="A22:H22"/>
    <mergeCell ref="A23:H23"/>
    <mergeCell ref="A25:H25"/>
    <mergeCell ref="A26:H26"/>
    <mergeCell ref="A24:H24"/>
    <mergeCell ref="A17:B19"/>
    <mergeCell ref="C17:D17"/>
    <mergeCell ref="F17:H21"/>
    <mergeCell ref="C18:D18"/>
    <mergeCell ref="C19:D19"/>
    <mergeCell ref="A20:B21"/>
    <mergeCell ref="C20:D20"/>
    <mergeCell ref="C21:D21"/>
    <mergeCell ref="A16:B16"/>
    <mergeCell ref="A1:H1"/>
    <mergeCell ref="A2:H2"/>
    <mergeCell ref="A4:A7"/>
    <mergeCell ref="A8:A11"/>
    <mergeCell ref="A12:A15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6" t="s">
        <v>102</v>
      </c>
      <c r="B1" s="74"/>
      <c r="C1" s="74"/>
      <c r="D1" s="74"/>
      <c r="E1" s="74"/>
      <c r="F1" s="74"/>
      <c r="G1" s="74"/>
      <c r="H1" s="75"/>
    </row>
    <row r="2" spans="1:14" ht="120.75" customHeight="1" x14ac:dyDescent="0.2">
      <c r="A2" s="96" t="s">
        <v>103</v>
      </c>
      <c r="B2" s="74"/>
      <c r="C2" s="74"/>
      <c r="D2" s="74"/>
      <c r="E2" s="74"/>
      <c r="F2" s="74"/>
      <c r="G2" s="74"/>
      <c r="H2" s="75"/>
    </row>
    <row r="3" spans="1:14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14" ht="15.75" customHeight="1" x14ac:dyDescent="0.2">
      <c r="A4" s="92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93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93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94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92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93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93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94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92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93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93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94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76" t="s">
        <v>19</v>
      </c>
      <c r="B16" s="75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001"/>
  <sheetViews>
    <sheetView topLeftCell="A3" workbookViewId="0">
      <selection activeCell="A22" sqref="A22:H22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6" t="s">
        <v>104</v>
      </c>
      <c r="B1" s="74"/>
      <c r="C1" s="74"/>
      <c r="D1" s="74"/>
      <c r="E1" s="74"/>
      <c r="F1" s="74"/>
      <c r="G1" s="74"/>
      <c r="H1" s="75"/>
    </row>
    <row r="2" spans="1:14" ht="120.75" customHeight="1" x14ac:dyDescent="0.2">
      <c r="A2" s="96" t="s">
        <v>105</v>
      </c>
      <c r="B2" s="74"/>
      <c r="C2" s="74"/>
      <c r="D2" s="74"/>
      <c r="E2" s="74"/>
      <c r="F2" s="74"/>
      <c r="G2" s="74"/>
      <c r="H2" s="75"/>
    </row>
    <row r="3" spans="1:14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14" ht="15.75" customHeight="1" x14ac:dyDescent="0.2">
      <c r="A4" s="92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93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93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94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92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93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93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94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92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93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93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94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76" t="s">
        <v>19</v>
      </c>
      <c r="B16" s="75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106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27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73" t="s">
        <v>28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29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>
      <c r="A26" s="95" t="s">
        <v>30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9">
    <mergeCell ref="A16:B16"/>
    <mergeCell ref="A1:H1"/>
    <mergeCell ref="A2:H2"/>
    <mergeCell ref="A4:A7"/>
    <mergeCell ref="A8:A11"/>
    <mergeCell ref="A12:A15"/>
    <mergeCell ref="A17:B19"/>
    <mergeCell ref="C17:D17"/>
    <mergeCell ref="F17:H21"/>
    <mergeCell ref="C18:D18"/>
    <mergeCell ref="C19:D19"/>
    <mergeCell ref="A20:B21"/>
    <mergeCell ref="C20:D20"/>
    <mergeCell ref="C21:D21"/>
    <mergeCell ref="A23:H23"/>
    <mergeCell ref="A24:H24"/>
    <mergeCell ref="A25:H25"/>
    <mergeCell ref="A26:H26"/>
    <mergeCell ref="A22:H22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000"/>
  <sheetViews>
    <sheetView topLeftCell="A2" workbookViewId="0">
      <selection activeCell="C4" sqref="C4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6" t="s">
        <v>107</v>
      </c>
      <c r="B1" s="74"/>
      <c r="C1" s="74"/>
      <c r="D1" s="74"/>
      <c r="E1" s="74"/>
      <c r="F1" s="74"/>
      <c r="G1" s="74"/>
      <c r="H1" s="75"/>
    </row>
    <row r="2" spans="1:14" ht="120.75" customHeight="1" x14ac:dyDescent="0.2">
      <c r="A2" s="96" t="s">
        <v>108</v>
      </c>
      <c r="B2" s="74"/>
      <c r="C2" s="74"/>
      <c r="D2" s="74"/>
      <c r="E2" s="74"/>
      <c r="F2" s="74"/>
      <c r="G2" s="74"/>
      <c r="H2" s="75"/>
    </row>
    <row r="3" spans="1:14" ht="50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14" ht="15.75" customHeight="1" x14ac:dyDescent="0.2">
      <c r="A4" s="92" t="s">
        <v>11</v>
      </c>
      <c r="B4" s="3" t="s">
        <v>12</v>
      </c>
      <c r="C4" s="16">
        <v>110000</v>
      </c>
      <c r="D4" s="16">
        <f t="shared" ref="D4:H4" si="0">C4</f>
        <v>110000</v>
      </c>
      <c r="E4" s="16">
        <f t="shared" si="0"/>
        <v>110000</v>
      </c>
      <c r="F4" s="16">
        <f t="shared" si="0"/>
        <v>110000</v>
      </c>
      <c r="G4" s="16">
        <f t="shared" si="0"/>
        <v>110000</v>
      </c>
      <c r="H4" s="16">
        <f t="shared" si="0"/>
        <v>110000</v>
      </c>
    </row>
    <row r="5" spans="1:14" ht="15.75" customHeight="1" x14ac:dyDescent="0.2">
      <c r="A5" s="93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93"/>
      <c r="B6" s="6" t="s">
        <v>14</v>
      </c>
      <c r="C6" s="7">
        <f t="shared" ref="C6:H6" si="1">(C4-C5)*2*0.95</f>
        <v>149150</v>
      </c>
      <c r="D6" s="7">
        <f t="shared" si="1"/>
        <v>159030</v>
      </c>
      <c r="E6" s="7">
        <f t="shared" si="1"/>
        <v>179170</v>
      </c>
      <c r="F6" s="7">
        <f t="shared" si="1"/>
        <v>189050</v>
      </c>
      <c r="G6" s="7">
        <f t="shared" si="1"/>
        <v>194180</v>
      </c>
      <c r="H6" s="7">
        <f t="shared" si="1"/>
        <v>209000</v>
      </c>
    </row>
    <row r="7" spans="1:14" ht="15.75" customHeight="1" x14ac:dyDescent="0.2">
      <c r="A7" s="94"/>
      <c r="B7" s="6" t="s">
        <v>15</v>
      </c>
      <c r="C7" s="7">
        <f t="shared" ref="C7:H7" si="2">(C4-C5)</f>
        <v>78500</v>
      </c>
      <c r="D7" s="7">
        <f t="shared" si="2"/>
        <v>83700</v>
      </c>
      <c r="E7" s="7">
        <f t="shared" si="2"/>
        <v>94300</v>
      </c>
      <c r="F7" s="7">
        <f t="shared" si="2"/>
        <v>99500</v>
      </c>
      <c r="G7" s="7">
        <f t="shared" si="2"/>
        <v>102200</v>
      </c>
      <c r="H7" s="7">
        <f t="shared" si="2"/>
        <v>110000</v>
      </c>
    </row>
    <row r="8" spans="1:14" ht="15.75" customHeight="1" x14ac:dyDescent="0.2">
      <c r="A8" s="92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93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93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94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92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93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93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94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76" t="s">
        <v>19</v>
      </c>
      <c r="B16" s="75"/>
      <c r="C16" s="9">
        <f t="shared" ref="C16:H16" si="11">SUM(C6,C10,C14)</f>
        <v>387790</v>
      </c>
      <c r="D16" s="9">
        <f t="shared" si="11"/>
        <v>417430</v>
      </c>
      <c r="E16" s="9">
        <f t="shared" si="11"/>
        <v>477850</v>
      </c>
      <c r="F16" s="9">
        <f t="shared" si="11"/>
        <v>507490</v>
      </c>
      <c r="G16" s="9">
        <f t="shared" si="11"/>
        <v>522880</v>
      </c>
      <c r="H16" s="9">
        <f t="shared" si="11"/>
        <v>567340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22:H22"/>
    <mergeCell ref="A23:H23"/>
    <mergeCell ref="A24:H24"/>
    <mergeCell ref="A25:H25"/>
    <mergeCell ref="A17:B19"/>
    <mergeCell ref="C17:D17"/>
    <mergeCell ref="F17:H21"/>
    <mergeCell ref="C18:D18"/>
    <mergeCell ref="C19:D19"/>
    <mergeCell ref="A20:B21"/>
    <mergeCell ref="C20:D20"/>
    <mergeCell ref="C21:D21"/>
    <mergeCell ref="A16:B16"/>
    <mergeCell ref="A1:H1"/>
    <mergeCell ref="A2:H2"/>
    <mergeCell ref="A4:A7"/>
    <mergeCell ref="A8:A11"/>
    <mergeCell ref="A12:A15"/>
  </mergeCell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000"/>
  <sheetViews>
    <sheetView topLeftCell="A8" workbookViewId="0">
      <selection sqref="A1:H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6" t="s">
        <v>109</v>
      </c>
      <c r="B1" s="74"/>
      <c r="C1" s="74"/>
      <c r="D1" s="74"/>
      <c r="E1" s="74"/>
      <c r="F1" s="74"/>
      <c r="G1" s="74"/>
      <c r="H1" s="75"/>
    </row>
    <row r="2" spans="1:14" ht="120.75" customHeight="1" x14ac:dyDescent="0.2">
      <c r="A2" s="96" t="s">
        <v>110</v>
      </c>
      <c r="B2" s="74"/>
      <c r="C2" s="74"/>
      <c r="D2" s="74"/>
      <c r="E2" s="74"/>
      <c r="F2" s="74"/>
      <c r="G2" s="74"/>
      <c r="H2" s="75"/>
    </row>
    <row r="3" spans="1:14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14" ht="15.75" customHeight="1" x14ac:dyDescent="0.2">
      <c r="A4" s="92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93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93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94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92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93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93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94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92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93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93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94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76" t="s">
        <v>19</v>
      </c>
      <c r="B16" s="75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000"/>
  <sheetViews>
    <sheetView topLeftCell="A2" workbookViewId="0">
      <selection sqref="A1:H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4" width="8.6640625" customWidth="1"/>
    <col min="15" max="26" width="11.1640625" customWidth="1"/>
  </cols>
  <sheetData>
    <row r="1" spans="1:14" ht="15.75" customHeight="1" x14ac:dyDescent="0.2">
      <c r="A1" s="96" t="s">
        <v>111</v>
      </c>
      <c r="B1" s="74"/>
      <c r="C1" s="74"/>
      <c r="D1" s="74"/>
      <c r="E1" s="74"/>
      <c r="F1" s="74"/>
      <c r="G1" s="74"/>
      <c r="H1" s="75"/>
    </row>
    <row r="2" spans="1:14" ht="51" customHeight="1" x14ac:dyDescent="0.2">
      <c r="A2" s="96" t="s">
        <v>112</v>
      </c>
      <c r="B2" s="74"/>
      <c r="C2" s="74"/>
      <c r="D2" s="74"/>
      <c r="E2" s="74"/>
      <c r="F2" s="74"/>
      <c r="G2" s="74"/>
      <c r="H2" s="75"/>
    </row>
    <row r="3" spans="1:14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14" ht="15.75" customHeight="1" x14ac:dyDescent="0.2">
      <c r="A4" s="92" t="s">
        <v>11</v>
      </c>
      <c r="B4" s="3" t="s">
        <v>12</v>
      </c>
      <c r="C4" s="16">
        <v>90000</v>
      </c>
      <c r="D4" s="16">
        <f t="shared" ref="D4:H4" si="0">C4</f>
        <v>90000</v>
      </c>
      <c r="E4" s="16">
        <f t="shared" si="0"/>
        <v>90000</v>
      </c>
      <c r="F4" s="16">
        <f t="shared" si="0"/>
        <v>90000</v>
      </c>
      <c r="G4" s="16">
        <f t="shared" si="0"/>
        <v>90000</v>
      </c>
      <c r="H4" s="16">
        <f t="shared" si="0"/>
        <v>90000</v>
      </c>
    </row>
    <row r="5" spans="1:14" ht="15.75" customHeight="1" x14ac:dyDescent="0.2">
      <c r="A5" s="93"/>
      <c r="B5" s="3" t="s">
        <v>13</v>
      </c>
      <c r="C5" s="17">
        <v>31500</v>
      </c>
      <c r="D5" s="17">
        <v>26300</v>
      </c>
      <c r="E5" s="17">
        <v>15700</v>
      </c>
      <c r="F5" s="17">
        <v>10500</v>
      </c>
      <c r="G5" s="17">
        <v>7800</v>
      </c>
      <c r="H5" s="17">
        <v>0</v>
      </c>
    </row>
    <row r="6" spans="1:14" ht="15.75" customHeight="1" x14ac:dyDescent="0.2">
      <c r="A6" s="93"/>
      <c r="B6" s="6" t="s">
        <v>14</v>
      </c>
      <c r="C6" s="7">
        <f t="shared" ref="C6:H6" si="1">(C4-C5)*2*0.95</f>
        <v>111150</v>
      </c>
      <c r="D6" s="7">
        <f t="shared" si="1"/>
        <v>121030</v>
      </c>
      <c r="E6" s="7">
        <f t="shared" si="1"/>
        <v>141170</v>
      </c>
      <c r="F6" s="7">
        <f t="shared" si="1"/>
        <v>151050</v>
      </c>
      <c r="G6" s="7">
        <f t="shared" si="1"/>
        <v>156180</v>
      </c>
      <c r="H6" s="7">
        <f t="shared" si="1"/>
        <v>171000</v>
      </c>
    </row>
    <row r="7" spans="1:14" ht="15.75" customHeight="1" x14ac:dyDescent="0.2">
      <c r="A7" s="94"/>
      <c r="B7" s="6" t="s">
        <v>15</v>
      </c>
      <c r="C7" s="7">
        <f t="shared" ref="C7:H7" si="2">(C4-C5)</f>
        <v>58500</v>
      </c>
      <c r="D7" s="7">
        <f t="shared" si="2"/>
        <v>63700</v>
      </c>
      <c r="E7" s="7">
        <f t="shared" si="2"/>
        <v>74300</v>
      </c>
      <c r="F7" s="7">
        <f t="shared" si="2"/>
        <v>79500</v>
      </c>
      <c r="G7" s="7">
        <f t="shared" si="2"/>
        <v>82200</v>
      </c>
      <c r="H7" s="7">
        <f t="shared" si="2"/>
        <v>90000</v>
      </c>
    </row>
    <row r="8" spans="1:14" ht="15.75" customHeight="1" x14ac:dyDescent="0.2">
      <c r="A8" s="92" t="s">
        <v>16</v>
      </c>
      <c r="B8" s="3" t="s">
        <v>12</v>
      </c>
      <c r="C8" s="4">
        <v>92000</v>
      </c>
      <c r="D8" s="4">
        <f t="shared" ref="D8:H8" si="3">C8</f>
        <v>92000</v>
      </c>
      <c r="E8" s="4">
        <f t="shared" si="3"/>
        <v>92000</v>
      </c>
      <c r="F8" s="4">
        <f t="shared" si="3"/>
        <v>92000</v>
      </c>
      <c r="G8" s="4">
        <f t="shared" si="3"/>
        <v>92000</v>
      </c>
      <c r="H8" s="4">
        <f t="shared" si="3"/>
        <v>92000</v>
      </c>
      <c r="I8" s="18"/>
      <c r="J8" s="18"/>
      <c r="K8" s="18"/>
      <c r="L8" s="18"/>
      <c r="M8" s="18"/>
      <c r="N8" s="18"/>
    </row>
    <row r="9" spans="1:14" ht="15.75" customHeight="1" x14ac:dyDescent="0.2">
      <c r="A9" s="93"/>
      <c r="B9" s="3" t="s">
        <v>13</v>
      </c>
      <c r="C9" s="4">
        <f t="shared" ref="C9:H9" si="4">C5</f>
        <v>31500</v>
      </c>
      <c r="D9" s="4">
        <f t="shared" si="4"/>
        <v>26300</v>
      </c>
      <c r="E9" s="4">
        <f t="shared" si="4"/>
        <v>15700</v>
      </c>
      <c r="F9" s="4">
        <f t="shared" si="4"/>
        <v>10500</v>
      </c>
      <c r="G9" s="4">
        <f t="shared" si="4"/>
        <v>7800</v>
      </c>
      <c r="H9" s="4">
        <f t="shared" si="4"/>
        <v>0</v>
      </c>
    </row>
    <row r="10" spans="1:14" ht="15.75" customHeight="1" x14ac:dyDescent="0.2">
      <c r="A10" s="93"/>
      <c r="B10" s="6" t="s">
        <v>14</v>
      </c>
      <c r="C10" s="7">
        <f t="shared" ref="C10:H10" si="5">(C8-C9)*2*0.95</f>
        <v>114950</v>
      </c>
      <c r="D10" s="7">
        <f t="shared" si="5"/>
        <v>124830</v>
      </c>
      <c r="E10" s="7">
        <f t="shared" si="5"/>
        <v>144970</v>
      </c>
      <c r="F10" s="7">
        <f t="shared" si="5"/>
        <v>154850</v>
      </c>
      <c r="G10" s="7">
        <f t="shared" si="5"/>
        <v>159980</v>
      </c>
      <c r="H10" s="7">
        <f t="shared" si="5"/>
        <v>174800</v>
      </c>
    </row>
    <row r="11" spans="1:14" ht="15.75" customHeight="1" x14ac:dyDescent="0.2">
      <c r="A11" s="94"/>
      <c r="B11" s="6" t="s">
        <v>15</v>
      </c>
      <c r="C11" s="7">
        <f t="shared" ref="C11:H11" si="6">(C8-C9)</f>
        <v>60500</v>
      </c>
      <c r="D11" s="7">
        <f t="shared" si="6"/>
        <v>65700</v>
      </c>
      <c r="E11" s="7">
        <f t="shared" si="6"/>
        <v>76300</v>
      </c>
      <c r="F11" s="7">
        <f t="shared" si="6"/>
        <v>81500</v>
      </c>
      <c r="G11" s="7">
        <f t="shared" si="6"/>
        <v>84200</v>
      </c>
      <c r="H11" s="7">
        <f t="shared" si="6"/>
        <v>92000</v>
      </c>
    </row>
    <row r="12" spans="1:14" ht="15.75" customHeight="1" x14ac:dyDescent="0.2">
      <c r="A12" s="92" t="s">
        <v>17</v>
      </c>
      <c r="B12" s="3" t="s">
        <v>12</v>
      </c>
      <c r="C12" s="4">
        <f>C8*1.05</f>
        <v>96600</v>
      </c>
      <c r="D12" s="4">
        <f t="shared" ref="D12:H12" si="7">C12</f>
        <v>96600</v>
      </c>
      <c r="E12" s="4">
        <f t="shared" si="7"/>
        <v>96600</v>
      </c>
      <c r="F12" s="4">
        <f t="shared" si="7"/>
        <v>96600</v>
      </c>
      <c r="G12" s="4">
        <f t="shared" si="7"/>
        <v>96600</v>
      </c>
      <c r="H12" s="4">
        <f t="shared" si="7"/>
        <v>96600</v>
      </c>
    </row>
    <row r="13" spans="1:14" ht="15.75" customHeight="1" x14ac:dyDescent="0.2">
      <c r="A13" s="93"/>
      <c r="B13" s="3" t="s">
        <v>13</v>
      </c>
      <c r="C13" s="4">
        <f t="shared" ref="C13:H13" si="8">C5</f>
        <v>31500</v>
      </c>
      <c r="D13" s="4">
        <f t="shared" si="8"/>
        <v>26300</v>
      </c>
      <c r="E13" s="4">
        <f t="shared" si="8"/>
        <v>15700</v>
      </c>
      <c r="F13" s="4">
        <f t="shared" si="8"/>
        <v>10500</v>
      </c>
      <c r="G13" s="4">
        <f t="shared" si="8"/>
        <v>7800</v>
      </c>
      <c r="H13" s="4">
        <f t="shared" si="8"/>
        <v>0</v>
      </c>
    </row>
    <row r="14" spans="1:14" ht="15.75" customHeight="1" x14ac:dyDescent="0.2">
      <c r="A14" s="93"/>
      <c r="B14" s="6" t="s">
        <v>14</v>
      </c>
      <c r="C14" s="7">
        <f t="shared" ref="C14:H14" si="9">(C12-C13)*2*0.95</f>
        <v>123690</v>
      </c>
      <c r="D14" s="7">
        <f t="shared" si="9"/>
        <v>133570</v>
      </c>
      <c r="E14" s="7">
        <f t="shared" si="9"/>
        <v>153710</v>
      </c>
      <c r="F14" s="7">
        <f t="shared" si="9"/>
        <v>163590</v>
      </c>
      <c r="G14" s="7">
        <f t="shared" si="9"/>
        <v>168720</v>
      </c>
      <c r="H14" s="7">
        <f t="shared" si="9"/>
        <v>183540</v>
      </c>
    </row>
    <row r="15" spans="1:14" ht="15.75" customHeight="1" x14ac:dyDescent="0.2">
      <c r="A15" s="94"/>
      <c r="B15" s="6" t="s">
        <v>15</v>
      </c>
      <c r="C15" s="7">
        <f t="shared" ref="C15:H15" si="10">(C12-C13)</f>
        <v>65100</v>
      </c>
      <c r="D15" s="7">
        <f t="shared" si="10"/>
        <v>70300</v>
      </c>
      <c r="E15" s="7">
        <f t="shared" si="10"/>
        <v>80900</v>
      </c>
      <c r="F15" s="7">
        <f t="shared" si="10"/>
        <v>86100</v>
      </c>
      <c r="G15" s="7">
        <f t="shared" si="10"/>
        <v>88800</v>
      </c>
      <c r="H15" s="7">
        <f t="shared" si="10"/>
        <v>96600</v>
      </c>
    </row>
    <row r="16" spans="1:14" ht="15.75" customHeight="1" x14ac:dyDescent="0.2">
      <c r="A16" s="76" t="s">
        <v>19</v>
      </c>
      <c r="B16" s="75"/>
      <c r="C16" s="9">
        <f t="shared" ref="C16:H16" si="11">SUM(C6,C10,C14)</f>
        <v>349790</v>
      </c>
      <c r="D16" s="9">
        <f t="shared" si="11"/>
        <v>379430</v>
      </c>
      <c r="E16" s="9">
        <f t="shared" si="11"/>
        <v>439850</v>
      </c>
      <c r="F16" s="9">
        <f t="shared" si="11"/>
        <v>469490</v>
      </c>
      <c r="G16" s="9">
        <f t="shared" si="11"/>
        <v>484880</v>
      </c>
      <c r="H16" s="9">
        <f t="shared" si="11"/>
        <v>529340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0"/>
  <sheetViews>
    <sheetView workbookViewId="0">
      <selection activeCell="I8" sqref="I8"/>
    </sheetView>
  </sheetViews>
  <sheetFormatPr baseColWidth="10" defaultColWidth="11.1640625" defaultRowHeight="15" customHeight="1" x14ac:dyDescent="0.2"/>
  <cols>
    <col min="1" max="1" width="40.6640625" customWidth="1"/>
    <col min="2" max="2" width="26.6640625" customWidth="1"/>
    <col min="3" max="3" width="17.6640625" customWidth="1"/>
    <col min="4" max="4" width="17" customWidth="1"/>
    <col min="5" max="5" width="16.6640625" customWidth="1"/>
    <col min="6" max="6" width="15.6640625" customWidth="1"/>
    <col min="7" max="7" width="18.5" customWidth="1"/>
    <col min="8" max="26" width="11.1640625" customWidth="1"/>
  </cols>
  <sheetData>
    <row r="1" spans="1:7" ht="15.75" customHeight="1" x14ac:dyDescent="0.2">
      <c r="A1" s="90" t="s">
        <v>113</v>
      </c>
      <c r="B1" s="74"/>
      <c r="C1" s="74"/>
      <c r="D1" s="74"/>
      <c r="E1" s="74"/>
      <c r="F1" s="74"/>
      <c r="G1" s="75"/>
    </row>
    <row r="2" spans="1:7" ht="51.75" customHeight="1" x14ac:dyDescent="0.2">
      <c r="A2" s="91" t="s">
        <v>114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spans="1:7" ht="15.75" customHeight="1" x14ac:dyDescent="0.2">
      <c r="A4" s="92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93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26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26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>C6+C10</f>
        <v>183065</v>
      </c>
      <c r="D12" s="9">
        <f t="shared" ref="D12:G12" si="7">D6+D10</f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20">
        <v>10000</v>
      </c>
      <c r="F13" s="21"/>
      <c r="G13" s="21"/>
    </row>
    <row r="14" spans="1:7" ht="15.75" customHeight="1" x14ac:dyDescent="0.2">
      <c r="A14" s="79"/>
      <c r="B14" s="80"/>
      <c r="C14" s="83" t="s">
        <v>22</v>
      </c>
      <c r="D14" s="75"/>
      <c r="E14" s="20">
        <v>5000</v>
      </c>
      <c r="F14" s="21"/>
      <c r="G14" s="21"/>
    </row>
    <row r="15" spans="1:7" ht="15.75" customHeight="1" x14ac:dyDescent="0.2">
      <c r="A15" s="81"/>
      <c r="B15" s="82"/>
      <c r="C15" s="88" t="s">
        <v>23</v>
      </c>
      <c r="D15" s="75"/>
      <c r="E15" s="20">
        <v>3000</v>
      </c>
      <c r="F15" s="21"/>
      <c r="G15" s="21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22">
        <v>18500</v>
      </c>
      <c r="F16" s="21"/>
      <c r="G16" s="21"/>
    </row>
    <row r="17" spans="1:7" ht="15.75" customHeight="1" x14ac:dyDescent="0.2">
      <c r="A17" s="81"/>
      <c r="B17" s="82"/>
      <c r="C17" s="76" t="s">
        <v>26</v>
      </c>
      <c r="D17" s="75"/>
      <c r="E17" s="22">
        <v>9750</v>
      </c>
      <c r="F17" s="21"/>
      <c r="G17" s="21"/>
    </row>
    <row r="18" spans="1:7" ht="15.75" customHeight="1" x14ac:dyDescent="0.2">
      <c r="A18" s="109" t="s">
        <v>27</v>
      </c>
      <c r="B18" s="86"/>
      <c r="C18" s="86"/>
      <c r="D18" s="86"/>
      <c r="E18" s="86"/>
      <c r="F18" s="86"/>
      <c r="G18" s="86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95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95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A1:G1"/>
    <mergeCell ref="A2:G2"/>
    <mergeCell ref="A4:A7"/>
    <mergeCell ref="A8:A11"/>
    <mergeCell ref="A12:B12"/>
    <mergeCell ref="A13:B15"/>
    <mergeCell ref="C13:D13"/>
    <mergeCell ref="A20:G20"/>
    <mergeCell ref="A21:G21"/>
    <mergeCell ref="C14:D14"/>
    <mergeCell ref="C15:D15"/>
    <mergeCell ref="A16:B17"/>
    <mergeCell ref="C16:D16"/>
    <mergeCell ref="C17:D17"/>
    <mergeCell ref="A18:G18"/>
    <mergeCell ref="A19:G19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40.6640625" customWidth="1"/>
    <col min="2" max="2" width="26.6640625" customWidth="1"/>
    <col min="3" max="3" width="17.6640625" customWidth="1"/>
    <col min="4" max="4" width="17" customWidth="1"/>
    <col min="5" max="5" width="16.6640625" customWidth="1"/>
    <col min="6" max="6" width="15.6640625" customWidth="1"/>
    <col min="7" max="7" width="18.5" customWidth="1"/>
    <col min="8" max="26" width="11.1640625" customWidth="1"/>
  </cols>
  <sheetData>
    <row r="1" spans="1:7" ht="15.75" customHeight="1" x14ac:dyDescent="0.2">
      <c r="A1" s="90" t="s">
        <v>120</v>
      </c>
      <c r="B1" s="74"/>
      <c r="C1" s="74"/>
      <c r="D1" s="74"/>
      <c r="E1" s="74"/>
      <c r="F1" s="74"/>
      <c r="G1" s="75"/>
    </row>
    <row r="2" spans="1:7" ht="58.5" customHeight="1" x14ac:dyDescent="0.2">
      <c r="A2" s="91" t="s">
        <v>121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spans="1:7" ht="15.75" customHeight="1" x14ac:dyDescent="0.2">
      <c r="A4" s="92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93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10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10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79"/>
      <c r="G16" s="80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1"/>
      <c r="G17" s="82"/>
    </row>
    <row r="18" spans="1:7" ht="15.75" customHeight="1" x14ac:dyDescent="0.2">
      <c r="A18" s="111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111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110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110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CBA8-5CB2-C04E-A6DC-21E0928104E4}">
  <dimension ref="A1:I29"/>
  <sheetViews>
    <sheetView topLeftCell="A2" zoomScaleNormal="100" workbookViewId="0">
      <selection activeCell="E25" sqref="E25"/>
    </sheetView>
  </sheetViews>
  <sheetFormatPr baseColWidth="10" defaultColWidth="11" defaultRowHeight="16" x14ac:dyDescent="0.2"/>
  <sheetData>
    <row r="1" spans="1:9" ht="16" customHeight="1" x14ac:dyDescent="0.2">
      <c r="A1" s="96" t="s">
        <v>122</v>
      </c>
      <c r="B1" s="112"/>
      <c r="C1" s="112"/>
      <c r="D1" s="112"/>
      <c r="E1" s="112"/>
      <c r="F1" s="112"/>
      <c r="G1" s="112"/>
      <c r="H1" s="112"/>
      <c r="I1" s="112"/>
    </row>
    <row r="2" spans="1:9" ht="59" customHeight="1" x14ac:dyDescent="0.2">
      <c r="A2" s="96" t="s">
        <v>123</v>
      </c>
      <c r="B2" s="112"/>
      <c r="C2" s="112"/>
      <c r="D2" s="112"/>
      <c r="E2" s="112"/>
      <c r="F2" s="112"/>
      <c r="G2" s="112"/>
      <c r="H2" s="112"/>
      <c r="I2" s="112"/>
    </row>
    <row r="3" spans="1:9" ht="91" x14ac:dyDescent="0.2">
      <c r="A3" s="1" t="s">
        <v>2</v>
      </c>
      <c r="B3" s="1" t="s">
        <v>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  <c r="I3" s="2" t="s">
        <v>130</v>
      </c>
    </row>
    <row r="4" spans="1:9" x14ac:dyDescent="0.2">
      <c r="A4" s="92" t="s">
        <v>11</v>
      </c>
      <c r="B4" s="3" t="s">
        <v>12</v>
      </c>
      <c r="C4" s="4">
        <v>66900</v>
      </c>
      <c r="D4" s="4">
        <f t="shared" ref="D4:I4" si="0">C4</f>
        <v>66900</v>
      </c>
      <c r="E4" s="4">
        <f t="shared" si="0"/>
        <v>66900</v>
      </c>
      <c r="F4" s="4">
        <f t="shared" si="0"/>
        <v>66900</v>
      </c>
      <c r="G4" s="4">
        <f t="shared" si="0"/>
        <v>66900</v>
      </c>
      <c r="H4" s="4">
        <f t="shared" si="0"/>
        <v>66900</v>
      </c>
      <c r="I4" s="4">
        <f t="shared" si="0"/>
        <v>66900</v>
      </c>
    </row>
    <row r="5" spans="1:9" x14ac:dyDescent="0.2">
      <c r="A5" s="93"/>
      <c r="B5" s="3" t="s">
        <v>13</v>
      </c>
      <c r="C5" s="4">
        <v>9500</v>
      </c>
      <c r="D5" s="4">
        <v>8500</v>
      </c>
      <c r="E5" s="4">
        <v>7500</v>
      </c>
      <c r="F5" s="4">
        <v>6500</v>
      </c>
      <c r="G5" s="4">
        <v>5500</v>
      </c>
      <c r="H5" s="4">
        <v>4500</v>
      </c>
      <c r="I5" s="4">
        <v>3500</v>
      </c>
    </row>
    <row r="6" spans="1:9" x14ac:dyDescent="0.2">
      <c r="A6" s="93"/>
      <c r="B6" s="6" t="s">
        <v>14</v>
      </c>
      <c r="C6" s="7">
        <f t="shared" ref="C6:I6" si="1">(C4-C5)*2*0.95</f>
        <v>109060</v>
      </c>
      <c r="D6" s="7">
        <f t="shared" si="1"/>
        <v>110960</v>
      </c>
      <c r="E6" s="7">
        <f t="shared" si="1"/>
        <v>112860</v>
      </c>
      <c r="F6" s="7">
        <f t="shared" si="1"/>
        <v>114760</v>
      </c>
      <c r="G6" s="7">
        <f t="shared" si="1"/>
        <v>116660</v>
      </c>
      <c r="H6" s="7">
        <f t="shared" si="1"/>
        <v>118560</v>
      </c>
      <c r="I6" s="7">
        <f t="shared" si="1"/>
        <v>120460</v>
      </c>
    </row>
    <row r="7" spans="1:9" x14ac:dyDescent="0.2">
      <c r="A7" s="94"/>
      <c r="B7" s="6" t="s">
        <v>15</v>
      </c>
      <c r="C7" s="7">
        <f t="shared" ref="C7:I7" si="2">(C4-C5)</f>
        <v>57400</v>
      </c>
      <c r="D7" s="7">
        <f t="shared" si="2"/>
        <v>58400</v>
      </c>
      <c r="E7" s="7">
        <f t="shared" si="2"/>
        <v>59400</v>
      </c>
      <c r="F7" s="7">
        <f t="shared" si="2"/>
        <v>60400</v>
      </c>
      <c r="G7" s="7">
        <f t="shared" si="2"/>
        <v>61400</v>
      </c>
      <c r="H7" s="7">
        <f t="shared" si="2"/>
        <v>62400</v>
      </c>
      <c r="I7" s="7">
        <f t="shared" si="2"/>
        <v>63400</v>
      </c>
    </row>
    <row r="8" spans="1:9" x14ac:dyDescent="0.2">
      <c r="A8" s="92" t="s">
        <v>16</v>
      </c>
      <c r="B8" s="3" t="s">
        <v>12</v>
      </c>
      <c r="C8" s="4">
        <v>68200</v>
      </c>
      <c r="D8" s="4">
        <f t="shared" ref="D8:I8" si="3">C8</f>
        <v>68200</v>
      </c>
      <c r="E8" s="4">
        <f t="shared" si="3"/>
        <v>68200</v>
      </c>
      <c r="F8" s="4">
        <f t="shared" si="3"/>
        <v>68200</v>
      </c>
      <c r="G8" s="4">
        <f t="shared" si="3"/>
        <v>68200</v>
      </c>
      <c r="H8" s="4">
        <f t="shared" si="3"/>
        <v>68200</v>
      </c>
      <c r="I8" s="4">
        <f t="shared" si="3"/>
        <v>68200</v>
      </c>
    </row>
    <row r="9" spans="1:9" x14ac:dyDescent="0.2">
      <c r="A9" s="93"/>
      <c r="B9" s="3" t="s">
        <v>13</v>
      </c>
      <c r="C9" s="4">
        <f t="shared" ref="C9:I9" si="4">C5</f>
        <v>9500</v>
      </c>
      <c r="D9" s="4">
        <f t="shared" si="4"/>
        <v>8500</v>
      </c>
      <c r="E9" s="4">
        <f t="shared" si="4"/>
        <v>7500</v>
      </c>
      <c r="F9" s="4">
        <f t="shared" si="4"/>
        <v>6500</v>
      </c>
      <c r="G9" s="4">
        <f t="shared" si="4"/>
        <v>5500</v>
      </c>
      <c r="H9" s="4">
        <f t="shared" si="4"/>
        <v>4500</v>
      </c>
      <c r="I9" s="4">
        <f t="shared" si="4"/>
        <v>3500</v>
      </c>
    </row>
    <row r="10" spans="1:9" x14ac:dyDescent="0.2">
      <c r="A10" s="93"/>
      <c r="B10" s="6" t="s">
        <v>14</v>
      </c>
      <c r="C10" s="7">
        <f t="shared" ref="C10:I10" si="5">(C8-C9)*2*0.95</f>
        <v>111530</v>
      </c>
      <c r="D10" s="7">
        <f t="shared" si="5"/>
        <v>113430</v>
      </c>
      <c r="E10" s="7">
        <f t="shared" si="5"/>
        <v>115330</v>
      </c>
      <c r="F10" s="7">
        <f t="shared" si="5"/>
        <v>117230</v>
      </c>
      <c r="G10" s="7">
        <f t="shared" si="5"/>
        <v>119130</v>
      </c>
      <c r="H10" s="7">
        <f t="shared" si="5"/>
        <v>121030</v>
      </c>
      <c r="I10" s="7">
        <f t="shared" si="5"/>
        <v>122930</v>
      </c>
    </row>
    <row r="11" spans="1:9" x14ac:dyDescent="0.2">
      <c r="A11" s="94"/>
      <c r="B11" s="6" t="s">
        <v>15</v>
      </c>
      <c r="C11" s="7">
        <f t="shared" ref="C11:I11" si="6">(C8-C9)</f>
        <v>58700</v>
      </c>
      <c r="D11" s="7">
        <f t="shared" si="6"/>
        <v>59700</v>
      </c>
      <c r="E11" s="7">
        <f t="shared" si="6"/>
        <v>60700</v>
      </c>
      <c r="F11" s="7">
        <f t="shared" si="6"/>
        <v>61700</v>
      </c>
      <c r="G11" s="7">
        <f t="shared" si="6"/>
        <v>62700</v>
      </c>
      <c r="H11" s="7">
        <f t="shared" si="6"/>
        <v>63700</v>
      </c>
      <c r="I11" s="7">
        <f t="shared" si="6"/>
        <v>64700</v>
      </c>
    </row>
    <row r="12" spans="1:9" x14ac:dyDescent="0.2">
      <c r="A12" s="92" t="s">
        <v>17</v>
      </c>
      <c r="B12" s="3" t="s">
        <v>12</v>
      </c>
      <c r="C12" s="4">
        <f>C8*1.05</f>
        <v>71610</v>
      </c>
      <c r="D12" s="4">
        <f t="shared" ref="D12:I12" si="7">C12</f>
        <v>71610</v>
      </c>
      <c r="E12" s="4">
        <f t="shared" si="7"/>
        <v>71610</v>
      </c>
      <c r="F12" s="4">
        <f t="shared" si="7"/>
        <v>71610</v>
      </c>
      <c r="G12" s="4">
        <f t="shared" si="7"/>
        <v>71610</v>
      </c>
      <c r="H12" s="4">
        <f t="shared" si="7"/>
        <v>71610</v>
      </c>
      <c r="I12" s="4">
        <f t="shared" si="7"/>
        <v>71610</v>
      </c>
    </row>
    <row r="13" spans="1:9" x14ac:dyDescent="0.2">
      <c r="A13" s="93"/>
      <c r="B13" s="3" t="s">
        <v>13</v>
      </c>
      <c r="C13" s="4">
        <f t="shared" ref="C13:I13" si="8">C9</f>
        <v>9500</v>
      </c>
      <c r="D13" s="4">
        <f t="shared" si="8"/>
        <v>8500</v>
      </c>
      <c r="E13" s="4">
        <f t="shared" si="8"/>
        <v>7500</v>
      </c>
      <c r="F13" s="4">
        <f t="shared" si="8"/>
        <v>6500</v>
      </c>
      <c r="G13" s="4">
        <f t="shared" si="8"/>
        <v>5500</v>
      </c>
      <c r="H13" s="4">
        <f t="shared" si="8"/>
        <v>4500</v>
      </c>
      <c r="I13" s="4">
        <f t="shared" si="8"/>
        <v>3500</v>
      </c>
    </row>
    <row r="14" spans="1:9" x14ac:dyDescent="0.2">
      <c r="A14" s="93"/>
      <c r="B14" s="6" t="s">
        <v>14</v>
      </c>
      <c r="C14" s="7">
        <f t="shared" ref="C14:I14" si="9">ROUNDUP((C12-C13)*2*0.95,0)</f>
        <v>118009</v>
      </c>
      <c r="D14" s="7">
        <f t="shared" si="9"/>
        <v>119909</v>
      </c>
      <c r="E14" s="7">
        <f t="shared" si="9"/>
        <v>121809</v>
      </c>
      <c r="F14" s="7">
        <f t="shared" si="9"/>
        <v>123709</v>
      </c>
      <c r="G14" s="7">
        <f t="shared" si="9"/>
        <v>125609</v>
      </c>
      <c r="H14" s="7">
        <f t="shared" si="9"/>
        <v>127509</v>
      </c>
      <c r="I14" s="7">
        <f t="shared" si="9"/>
        <v>129409</v>
      </c>
    </row>
    <row r="15" spans="1:9" x14ac:dyDescent="0.2">
      <c r="A15" s="94"/>
      <c r="B15" s="6" t="s">
        <v>15</v>
      </c>
      <c r="C15" s="7">
        <f t="shared" ref="C15:I15" si="10">(C12-C13)</f>
        <v>62110</v>
      </c>
      <c r="D15" s="7">
        <f t="shared" si="10"/>
        <v>63110</v>
      </c>
      <c r="E15" s="7">
        <f t="shared" si="10"/>
        <v>64110</v>
      </c>
      <c r="F15" s="7">
        <f t="shared" si="10"/>
        <v>65110</v>
      </c>
      <c r="G15" s="7">
        <f t="shared" si="10"/>
        <v>66110</v>
      </c>
      <c r="H15" s="7">
        <f t="shared" si="10"/>
        <v>67110</v>
      </c>
      <c r="I15" s="7">
        <f t="shared" si="10"/>
        <v>68110</v>
      </c>
    </row>
    <row r="16" spans="1:9" x14ac:dyDescent="0.2">
      <c r="A16" s="92" t="s">
        <v>18</v>
      </c>
      <c r="B16" s="3" t="s">
        <v>12</v>
      </c>
      <c r="C16" s="4">
        <f>C12*1.05</f>
        <v>75190.5</v>
      </c>
      <c r="D16" s="4">
        <f t="shared" ref="D16:I16" si="11">C16</f>
        <v>75190.5</v>
      </c>
      <c r="E16" s="4">
        <f t="shared" si="11"/>
        <v>75190.5</v>
      </c>
      <c r="F16" s="4">
        <f t="shared" si="11"/>
        <v>75190.5</v>
      </c>
      <c r="G16" s="4">
        <f t="shared" si="11"/>
        <v>75190.5</v>
      </c>
      <c r="H16" s="4">
        <f t="shared" si="11"/>
        <v>75190.5</v>
      </c>
      <c r="I16" s="4">
        <f t="shared" si="11"/>
        <v>75190.5</v>
      </c>
    </row>
    <row r="17" spans="1:9" x14ac:dyDescent="0.2">
      <c r="A17" s="93"/>
      <c r="B17" s="3" t="s">
        <v>13</v>
      </c>
      <c r="C17" s="4">
        <f t="shared" ref="C17:I17" si="12">C13</f>
        <v>9500</v>
      </c>
      <c r="D17" s="4">
        <f t="shared" si="12"/>
        <v>8500</v>
      </c>
      <c r="E17" s="4">
        <f t="shared" si="12"/>
        <v>7500</v>
      </c>
      <c r="F17" s="4">
        <f t="shared" si="12"/>
        <v>6500</v>
      </c>
      <c r="G17" s="4">
        <f t="shared" si="12"/>
        <v>5500</v>
      </c>
      <c r="H17" s="4">
        <f t="shared" si="12"/>
        <v>4500</v>
      </c>
      <c r="I17" s="4">
        <f t="shared" si="12"/>
        <v>3500</v>
      </c>
    </row>
    <row r="18" spans="1:9" x14ac:dyDescent="0.2">
      <c r="A18" s="93"/>
      <c r="B18" s="6" t="s">
        <v>14</v>
      </c>
      <c r="C18" s="7">
        <f t="shared" ref="C18:I18" si="13">ROUNDUP((C16-C17)*2*0.95,0)</f>
        <v>124812</v>
      </c>
      <c r="D18" s="7">
        <f t="shared" si="13"/>
        <v>126712</v>
      </c>
      <c r="E18" s="7">
        <f t="shared" si="13"/>
        <v>128612</v>
      </c>
      <c r="F18" s="7">
        <f t="shared" si="13"/>
        <v>130512</v>
      </c>
      <c r="G18" s="7">
        <f t="shared" si="13"/>
        <v>132412</v>
      </c>
      <c r="H18" s="7">
        <f t="shared" si="13"/>
        <v>134312</v>
      </c>
      <c r="I18" s="7">
        <f t="shared" si="13"/>
        <v>136212</v>
      </c>
    </row>
    <row r="19" spans="1:9" x14ac:dyDescent="0.2">
      <c r="A19" s="94"/>
      <c r="B19" s="6" t="s">
        <v>15</v>
      </c>
      <c r="C19" s="7">
        <f t="shared" ref="C19:I19" si="14">(C16-C17)</f>
        <v>65690.5</v>
      </c>
      <c r="D19" s="7">
        <f t="shared" si="14"/>
        <v>66690.5</v>
      </c>
      <c r="E19" s="7">
        <f t="shared" si="14"/>
        <v>67690.5</v>
      </c>
      <c r="F19" s="7">
        <f t="shared" si="14"/>
        <v>68690.5</v>
      </c>
      <c r="G19" s="7">
        <f t="shared" si="14"/>
        <v>69690.5</v>
      </c>
      <c r="H19" s="7">
        <f t="shared" si="14"/>
        <v>70690.5</v>
      </c>
      <c r="I19" s="7">
        <f t="shared" si="14"/>
        <v>71690.5</v>
      </c>
    </row>
    <row r="20" spans="1:9" x14ac:dyDescent="0.2">
      <c r="A20" s="76" t="s">
        <v>19</v>
      </c>
      <c r="B20" s="75"/>
      <c r="C20" s="9">
        <f t="shared" ref="C20:I20" si="15">SUM(C6,C10,C14,C18)</f>
        <v>463411</v>
      </c>
      <c r="D20" s="9">
        <f t="shared" si="15"/>
        <v>471011</v>
      </c>
      <c r="E20" s="9">
        <f t="shared" si="15"/>
        <v>478611</v>
      </c>
      <c r="F20" s="9">
        <f t="shared" si="15"/>
        <v>486211</v>
      </c>
      <c r="G20" s="9">
        <f t="shared" si="15"/>
        <v>493811</v>
      </c>
      <c r="H20" s="9">
        <f t="shared" si="15"/>
        <v>501411</v>
      </c>
      <c r="I20" s="9">
        <f t="shared" si="15"/>
        <v>509011</v>
      </c>
    </row>
    <row r="21" spans="1:9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85"/>
      <c r="I21" s="85"/>
    </row>
    <row r="22" spans="1:9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6"/>
      <c r="I22" s="86"/>
    </row>
    <row r="23" spans="1:9" x14ac:dyDescent="0.2">
      <c r="A23" s="81"/>
      <c r="B23" s="82"/>
      <c r="C23" s="88" t="s">
        <v>23</v>
      </c>
      <c r="D23" s="75"/>
      <c r="E23" s="10">
        <v>5000</v>
      </c>
      <c r="F23" s="79"/>
      <c r="G23" s="86"/>
      <c r="H23" s="86"/>
      <c r="I23" s="86"/>
    </row>
    <row r="24" spans="1:9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6"/>
      <c r="I24" s="86"/>
    </row>
    <row r="25" spans="1:9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7"/>
      <c r="I25" s="87"/>
    </row>
    <row r="26" spans="1:9" x14ac:dyDescent="0.2">
      <c r="A26" s="73" t="s">
        <v>27</v>
      </c>
      <c r="B26" s="74"/>
      <c r="C26" s="74"/>
      <c r="D26" s="74"/>
      <c r="E26" s="74"/>
      <c r="F26" s="74"/>
      <c r="G26" s="74"/>
      <c r="H26" s="74"/>
      <c r="I26" s="74"/>
    </row>
    <row r="27" spans="1:9" x14ac:dyDescent="0.2">
      <c r="A27" s="73" t="s">
        <v>28</v>
      </c>
      <c r="B27" s="74"/>
      <c r="C27" s="74"/>
      <c r="D27" s="74"/>
      <c r="E27" s="74"/>
      <c r="F27" s="74"/>
      <c r="G27" s="74"/>
      <c r="H27" s="74"/>
      <c r="I27" s="74"/>
    </row>
    <row r="28" spans="1:9" x14ac:dyDescent="0.2">
      <c r="A28" s="95" t="s">
        <v>29</v>
      </c>
      <c r="B28" s="74"/>
      <c r="C28" s="74"/>
      <c r="D28" s="74"/>
      <c r="E28" s="74"/>
      <c r="F28" s="74"/>
      <c r="G28" s="74"/>
      <c r="H28" s="74"/>
      <c r="I28" s="74"/>
    </row>
    <row r="29" spans="1:9" x14ac:dyDescent="0.2">
      <c r="A29" s="95" t="s">
        <v>30</v>
      </c>
      <c r="B29" s="74"/>
      <c r="C29" s="74"/>
      <c r="D29" s="74"/>
      <c r="E29" s="74"/>
      <c r="F29" s="74"/>
      <c r="G29" s="74"/>
      <c r="H29" s="74"/>
      <c r="I29" s="74"/>
    </row>
  </sheetData>
  <mergeCells count="19">
    <mergeCell ref="A8:A11"/>
    <mergeCell ref="A12:A15"/>
    <mergeCell ref="A16:A19"/>
    <mergeCell ref="A26:I26"/>
    <mergeCell ref="A27:I27"/>
    <mergeCell ref="A28:I28"/>
    <mergeCell ref="A29:I29"/>
    <mergeCell ref="A1:I1"/>
    <mergeCell ref="A2:I2"/>
    <mergeCell ref="A20:B20"/>
    <mergeCell ref="A21:B23"/>
    <mergeCell ref="C21:D21"/>
    <mergeCell ref="F21:I25"/>
    <mergeCell ref="C22:D22"/>
    <mergeCell ref="C23:D23"/>
    <mergeCell ref="A24:B25"/>
    <mergeCell ref="C24:D24"/>
    <mergeCell ref="C25:D25"/>
    <mergeCell ref="A4:A7"/>
  </mergeCells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000"/>
  <sheetViews>
    <sheetView workbookViewId="0">
      <selection sqref="A1:G1"/>
    </sheetView>
  </sheetViews>
  <sheetFormatPr baseColWidth="10" defaultColWidth="11.1640625" defaultRowHeight="15" customHeight="1" x14ac:dyDescent="0.2"/>
  <cols>
    <col min="1" max="1" width="40.6640625" customWidth="1"/>
    <col min="2" max="2" width="26.6640625" customWidth="1"/>
    <col min="3" max="3" width="17.6640625" customWidth="1"/>
    <col min="4" max="4" width="17" customWidth="1"/>
    <col min="5" max="5" width="16.6640625" customWidth="1"/>
    <col min="6" max="6" width="15.6640625" customWidth="1"/>
    <col min="7" max="7" width="18.5" customWidth="1"/>
    <col min="8" max="26" width="11.1640625" customWidth="1"/>
  </cols>
  <sheetData>
    <row r="1" spans="1:7" ht="15.75" customHeight="1" x14ac:dyDescent="0.2">
      <c r="A1" s="90" t="s">
        <v>131</v>
      </c>
      <c r="B1" s="74"/>
      <c r="C1" s="74"/>
      <c r="D1" s="74"/>
      <c r="E1" s="74"/>
      <c r="F1" s="74"/>
      <c r="G1" s="75"/>
    </row>
    <row r="2" spans="1:7" ht="58.5" customHeight="1" x14ac:dyDescent="0.2">
      <c r="A2" s="91" t="s">
        <v>132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spans="1:7" ht="15.75" customHeight="1" x14ac:dyDescent="0.2">
      <c r="A4" s="92" t="s">
        <v>11</v>
      </c>
      <c r="B4" s="3" t="s">
        <v>12</v>
      </c>
      <c r="C4" s="4">
        <v>58400</v>
      </c>
      <c r="D4" s="4">
        <f t="shared" ref="D4:G4" si="0">C4</f>
        <v>58400</v>
      </c>
      <c r="E4" s="4">
        <f t="shared" si="0"/>
        <v>58400</v>
      </c>
      <c r="F4" s="4">
        <f t="shared" si="0"/>
        <v>58400</v>
      </c>
      <c r="G4" s="4">
        <f t="shared" si="0"/>
        <v>58400</v>
      </c>
    </row>
    <row r="5" spans="1:7" ht="15.75" customHeight="1" x14ac:dyDescent="0.2">
      <c r="A5" s="93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95760</v>
      </c>
      <c r="D6" s="7">
        <f t="shared" si="1"/>
        <v>99560</v>
      </c>
      <c r="E6" s="7">
        <f t="shared" si="1"/>
        <v>103360</v>
      </c>
      <c r="F6" s="7">
        <f t="shared" si="1"/>
        <v>106210</v>
      </c>
      <c r="G6" s="7">
        <f t="shared" si="1"/>
        <v>110960</v>
      </c>
    </row>
    <row r="7" spans="1:7" ht="15.75" customHeight="1" x14ac:dyDescent="0.2">
      <c r="A7" s="94"/>
      <c r="B7" s="6" t="s">
        <v>15</v>
      </c>
      <c r="C7" s="7">
        <f t="shared" ref="C7:G7" si="2">(C4-C5)</f>
        <v>50400</v>
      </c>
      <c r="D7" s="7">
        <f t="shared" si="2"/>
        <v>52400</v>
      </c>
      <c r="E7" s="7">
        <f t="shared" si="2"/>
        <v>54400</v>
      </c>
      <c r="F7" s="7">
        <f t="shared" si="2"/>
        <v>55900</v>
      </c>
      <c r="G7" s="7">
        <f t="shared" si="2"/>
        <v>58400</v>
      </c>
    </row>
    <row r="8" spans="1:7" ht="15.75" customHeight="1" x14ac:dyDescent="0.2">
      <c r="A8" s="92" t="s">
        <v>16</v>
      </c>
      <c r="B8" s="3" t="s">
        <v>12</v>
      </c>
      <c r="C8" s="4">
        <v>59400</v>
      </c>
      <c r="D8" s="4">
        <f t="shared" ref="D8:G8" si="3">C8</f>
        <v>59400</v>
      </c>
      <c r="E8" s="4">
        <f t="shared" si="3"/>
        <v>59400</v>
      </c>
      <c r="F8" s="4">
        <f t="shared" si="3"/>
        <v>59400</v>
      </c>
      <c r="G8" s="4">
        <f t="shared" si="3"/>
        <v>59400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97660</v>
      </c>
      <c r="D10" s="7">
        <f t="shared" si="5"/>
        <v>101460</v>
      </c>
      <c r="E10" s="7">
        <f t="shared" si="5"/>
        <v>105260</v>
      </c>
      <c r="F10" s="7">
        <f t="shared" si="5"/>
        <v>108110</v>
      </c>
      <c r="G10" s="7">
        <f t="shared" si="5"/>
        <v>112860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51400</v>
      </c>
      <c r="D11" s="7">
        <f t="shared" si="6"/>
        <v>53400</v>
      </c>
      <c r="E11" s="7">
        <f t="shared" si="6"/>
        <v>55400</v>
      </c>
      <c r="F11" s="7">
        <f t="shared" si="6"/>
        <v>56900</v>
      </c>
      <c r="G11" s="7">
        <f t="shared" si="6"/>
        <v>59400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193420</v>
      </c>
      <c r="D12" s="9">
        <f t="shared" si="7"/>
        <v>201020</v>
      </c>
      <c r="E12" s="9">
        <f t="shared" si="7"/>
        <v>208620</v>
      </c>
      <c r="F12" s="9">
        <f t="shared" si="7"/>
        <v>214320</v>
      </c>
      <c r="G12" s="9">
        <f t="shared" si="7"/>
        <v>223820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10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10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79"/>
      <c r="G16" s="80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1"/>
      <c r="G17" s="82"/>
    </row>
    <row r="18" spans="1:7" ht="15.75" customHeight="1" x14ac:dyDescent="0.2">
      <c r="A18" s="111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111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110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110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7" ht="15.75" customHeight="1" x14ac:dyDescent="0.2">
      <c r="A1" s="90" t="s">
        <v>133</v>
      </c>
      <c r="B1" s="74"/>
      <c r="C1" s="74"/>
      <c r="D1" s="74"/>
      <c r="E1" s="74"/>
      <c r="F1" s="74"/>
      <c r="G1" s="75"/>
    </row>
    <row r="2" spans="1:7" ht="75" customHeight="1" x14ac:dyDescent="0.2">
      <c r="A2" s="91" t="s">
        <v>134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spans="1:7" ht="15.75" customHeight="1" x14ac:dyDescent="0.2">
      <c r="A4" s="92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93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10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10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79"/>
      <c r="G16" s="80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1"/>
      <c r="G17" s="82"/>
    </row>
    <row r="18" spans="1:7" ht="15.75" customHeight="1" x14ac:dyDescent="0.2">
      <c r="A18" s="111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111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110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110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40.6640625" customWidth="1"/>
    <col min="2" max="2" width="26.6640625" customWidth="1"/>
    <col min="3" max="3" width="17.6640625" customWidth="1"/>
    <col min="4" max="4" width="17" customWidth="1"/>
    <col min="5" max="5" width="16.6640625" customWidth="1"/>
    <col min="6" max="6" width="15.6640625" customWidth="1"/>
    <col min="7" max="7" width="18.5" customWidth="1"/>
    <col min="8" max="26" width="11.1640625" customWidth="1"/>
  </cols>
  <sheetData>
    <row r="1" spans="1:7" ht="15.75" customHeight="1" x14ac:dyDescent="0.2">
      <c r="A1" s="90" t="s">
        <v>135</v>
      </c>
      <c r="B1" s="74"/>
      <c r="C1" s="74"/>
      <c r="D1" s="74"/>
      <c r="E1" s="74"/>
      <c r="F1" s="74"/>
      <c r="G1" s="75"/>
    </row>
    <row r="2" spans="1:7" ht="58.5" customHeight="1" x14ac:dyDescent="0.2">
      <c r="A2" s="91" t="s">
        <v>136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spans="1:7" ht="15.75" customHeight="1" x14ac:dyDescent="0.2">
      <c r="A4" s="92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93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10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10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79"/>
      <c r="G16" s="80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1"/>
      <c r="G17" s="82"/>
    </row>
    <row r="18" spans="1:7" ht="15.75" customHeight="1" x14ac:dyDescent="0.2">
      <c r="A18" s="111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111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110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110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7" ht="15.75" customHeight="1" x14ac:dyDescent="0.2">
      <c r="A1" s="90" t="s">
        <v>137</v>
      </c>
      <c r="B1" s="74"/>
      <c r="C1" s="74"/>
      <c r="D1" s="74"/>
      <c r="E1" s="74"/>
      <c r="F1" s="74"/>
      <c r="G1" s="75"/>
    </row>
    <row r="2" spans="1:7" ht="75" customHeight="1" x14ac:dyDescent="0.2">
      <c r="A2" s="91" t="s">
        <v>138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spans="1:7" ht="15.75" customHeight="1" x14ac:dyDescent="0.2">
      <c r="A4" s="92" t="s">
        <v>11</v>
      </c>
      <c r="B4" s="3" t="s">
        <v>12</v>
      </c>
      <c r="C4" s="4">
        <v>55700</v>
      </c>
      <c r="D4" s="4">
        <f t="shared" ref="D4:G4" si="0">C4</f>
        <v>55700</v>
      </c>
      <c r="E4" s="4">
        <f t="shared" si="0"/>
        <v>55700</v>
      </c>
      <c r="F4" s="4">
        <f t="shared" si="0"/>
        <v>55700</v>
      </c>
      <c r="G4" s="4">
        <f t="shared" si="0"/>
        <v>55700</v>
      </c>
    </row>
    <row r="5" spans="1:7" ht="15.75" customHeight="1" x14ac:dyDescent="0.2">
      <c r="A5" s="93"/>
      <c r="B5" s="3" t="s">
        <v>13</v>
      </c>
      <c r="C5" s="4">
        <v>8000</v>
      </c>
      <c r="D5" s="4">
        <v>6000</v>
      </c>
      <c r="E5" s="4">
        <v>4000</v>
      </c>
      <c r="F5" s="4">
        <v>2500</v>
      </c>
      <c r="G5" s="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10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10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23" t="s">
        <v>24</v>
      </c>
      <c r="B16" s="23"/>
      <c r="C16" s="13" t="s">
        <v>25</v>
      </c>
      <c r="D16" s="13"/>
      <c r="E16" s="3">
        <v>18500</v>
      </c>
      <c r="F16" s="79"/>
      <c r="G16" s="80"/>
    </row>
    <row r="17" spans="1:7" ht="15.75" customHeight="1" x14ac:dyDescent="0.2">
      <c r="A17" s="23"/>
      <c r="B17" s="23"/>
      <c r="C17" s="13" t="s">
        <v>26</v>
      </c>
      <c r="D17" s="13"/>
      <c r="E17" s="3">
        <v>9750</v>
      </c>
      <c r="F17" s="81"/>
      <c r="G17" s="82"/>
    </row>
    <row r="18" spans="1:7" ht="15.75" customHeight="1" x14ac:dyDescent="0.2">
      <c r="A18" s="111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111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110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110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0:G20"/>
    <mergeCell ref="A21:G21"/>
    <mergeCell ref="A1:G1"/>
    <mergeCell ref="A2:G2"/>
    <mergeCell ref="A4:A7"/>
    <mergeCell ref="A8:A11"/>
    <mergeCell ref="A12:B12"/>
    <mergeCell ref="A13:B15"/>
    <mergeCell ref="F13:G17"/>
    <mergeCell ref="C13:D13"/>
    <mergeCell ref="C14:D14"/>
    <mergeCell ref="C15:D15"/>
    <mergeCell ref="A18:G18"/>
    <mergeCell ref="A19:G19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16.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90" t="s">
        <v>139</v>
      </c>
      <c r="B1" s="74"/>
      <c r="C1" s="74"/>
      <c r="D1" s="74"/>
      <c r="E1" s="74"/>
      <c r="F1" s="74"/>
      <c r="G1" s="75"/>
    </row>
    <row r="2" spans="1:7" ht="46.5" customHeight="1" x14ac:dyDescent="0.2">
      <c r="A2" s="91" t="s">
        <v>140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spans="1:7" ht="15.75" customHeight="1" x14ac:dyDescent="0.2">
      <c r="A4" s="92" t="s">
        <v>11</v>
      </c>
      <c r="B4" s="3" t="s">
        <v>12</v>
      </c>
      <c r="C4" s="4">
        <v>40700</v>
      </c>
      <c r="D4" s="4">
        <f t="shared" ref="D4:G4" si="0">C4</f>
        <v>40700</v>
      </c>
      <c r="E4" s="4">
        <f t="shared" si="0"/>
        <v>40700</v>
      </c>
      <c r="F4" s="4">
        <f t="shared" si="0"/>
        <v>40700</v>
      </c>
      <c r="G4" s="4">
        <f t="shared" si="0"/>
        <v>40700</v>
      </c>
    </row>
    <row r="5" spans="1:7" ht="15.75" customHeight="1" x14ac:dyDescent="0.2">
      <c r="A5" s="93"/>
      <c r="B5" s="3" t="s">
        <v>13</v>
      </c>
      <c r="C5" s="4">
        <v>8000</v>
      </c>
      <c r="D5" s="4">
        <v>6000</v>
      </c>
      <c r="E5" s="4">
        <v>4000</v>
      </c>
      <c r="F5" s="4">
        <v>2000</v>
      </c>
      <c r="G5" s="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62130</v>
      </c>
      <c r="D6" s="7">
        <f t="shared" si="1"/>
        <v>65930</v>
      </c>
      <c r="E6" s="7">
        <f t="shared" si="1"/>
        <v>69730</v>
      </c>
      <c r="F6" s="7">
        <f t="shared" si="1"/>
        <v>73530</v>
      </c>
      <c r="G6" s="7">
        <f t="shared" si="1"/>
        <v>77330</v>
      </c>
    </row>
    <row r="7" spans="1:7" ht="15.75" customHeight="1" x14ac:dyDescent="0.2">
      <c r="A7" s="94"/>
      <c r="B7" s="6" t="s">
        <v>15</v>
      </c>
      <c r="C7" s="7">
        <f t="shared" ref="C7:G7" si="2">(C4-C5)</f>
        <v>32700</v>
      </c>
      <c r="D7" s="7">
        <f t="shared" si="2"/>
        <v>34700</v>
      </c>
      <c r="E7" s="7">
        <f t="shared" si="2"/>
        <v>36700</v>
      </c>
      <c r="F7" s="7">
        <f t="shared" si="2"/>
        <v>38700</v>
      </c>
      <c r="G7" s="7">
        <f t="shared" si="2"/>
        <v>40700</v>
      </c>
    </row>
    <row r="8" spans="1:7" ht="15.75" customHeight="1" x14ac:dyDescent="0.2">
      <c r="A8" s="92" t="s">
        <v>16</v>
      </c>
      <c r="B8" s="3" t="s">
        <v>12</v>
      </c>
      <c r="C8" s="4">
        <v>40900</v>
      </c>
      <c r="D8" s="4">
        <f t="shared" ref="D8:G8" si="3">C8</f>
        <v>40900</v>
      </c>
      <c r="E8" s="4">
        <f t="shared" si="3"/>
        <v>40900</v>
      </c>
      <c r="F8" s="4">
        <f t="shared" si="3"/>
        <v>40900</v>
      </c>
      <c r="G8" s="4">
        <f t="shared" si="3"/>
        <v>40900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62510</v>
      </c>
      <c r="D10" s="7">
        <f t="shared" si="5"/>
        <v>66310</v>
      </c>
      <c r="E10" s="7">
        <f t="shared" si="5"/>
        <v>70110</v>
      </c>
      <c r="F10" s="7">
        <f t="shared" si="5"/>
        <v>73910</v>
      </c>
      <c r="G10" s="7">
        <f t="shared" si="5"/>
        <v>77710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32900</v>
      </c>
      <c r="D11" s="7">
        <f t="shared" si="6"/>
        <v>34900</v>
      </c>
      <c r="E11" s="7">
        <f t="shared" si="6"/>
        <v>36900</v>
      </c>
      <c r="F11" s="7">
        <f t="shared" si="6"/>
        <v>38900</v>
      </c>
      <c r="G11" s="7">
        <f t="shared" si="6"/>
        <v>40900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124640</v>
      </c>
      <c r="D12" s="9">
        <f t="shared" si="7"/>
        <v>132240</v>
      </c>
      <c r="E12" s="9">
        <f t="shared" si="7"/>
        <v>139840</v>
      </c>
      <c r="F12" s="9">
        <f t="shared" si="7"/>
        <v>147440</v>
      </c>
      <c r="G12" s="9">
        <f t="shared" si="7"/>
        <v>155040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10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10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95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95" t="s">
        <v>30</v>
      </c>
      <c r="B21" s="74"/>
      <c r="C21" s="74"/>
      <c r="D21" s="74"/>
      <c r="E21" s="74"/>
      <c r="F21" s="74"/>
      <c r="G21" s="75"/>
    </row>
    <row r="22" spans="1:7" ht="25.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96" t="s">
        <v>141</v>
      </c>
      <c r="B1" s="74"/>
      <c r="C1" s="74"/>
      <c r="D1" s="74"/>
      <c r="E1" s="74"/>
      <c r="F1" s="74"/>
      <c r="G1" s="75"/>
    </row>
    <row r="2" spans="1:7" ht="36.75" customHeight="1" x14ac:dyDescent="0.2">
      <c r="A2" s="96" t="s">
        <v>142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</row>
    <row r="4" spans="1:7" ht="15.75" customHeight="1" x14ac:dyDescent="0.2">
      <c r="A4" s="92" t="s">
        <v>11</v>
      </c>
      <c r="B4" s="3" t="s">
        <v>12</v>
      </c>
      <c r="C4" s="24">
        <v>63700</v>
      </c>
      <c r="D4" s="24">
        <f t="shared" ref="D4:G4" si="0">C4</f>
        <v>63700</v>
      </c>
      <c r="E4" s="24">
        <f t="shared" si="0"/>
        <v>63700</v>
      </c>
      <c r="F4" s="24">
        <f t="shared" si="0"/>
        <v>63700</v>
      </c>
      <c r="G4" s="24">
        <f t="shared" si="0"/>
        <v>63700</v>
      </c>
    </row>
    <row r="5" spans="1:7" ht="15.75" customHeight="1" x14ac:dyDescent="0.2">
      <c r="A5" s="93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111530</v>
      </c>
      <c r="D6" s="7">
        <f t="shared" si="1"/>
        <v>113430</v>
      </c>
      <c r="E6" s="7">
        <f t="shared" si="1"/>
        <v>115330</v>
      </c>
      <c r="F6" s="7">
        <f t="shared" si="1"/>
        <v>117230</v>
      </c>
      <c r="G6" s="7">
        <f t="shared" si="1"/>
        <v>121030</v>
      </c>
    </row>
    <row r="7" spans="1:7" ht="15.75" customHeight="1" x14ac:dyDescent="0.2">
      <c r="A7" s="94"/>
      <c r="B7" s="6" t="s">
        <v>15</v>
      </c>
      <c r="C7" s="7">
        <f t="shared" ref="C7:G7" si="2">(C4-C5)</f>
        <v>58700</v>
      </c>
      <c r="D7" s="7">
        <f t="shared" si="2"/>
        <v>59700</v>
      </c>
      <c r="E7" s="7">
        <f t="shared" si="2"/>
        <v>60700</v>
      </c>
      <c r="F7" s="7">
        <f t="shared" si="2"/>
        <v>61700</v>
      </c>
      <c r="G7" s="7">
        <f t="shared" si="2"/>
        <v>63700</v>
      </c>
    </row>
    <row r="8" spans="1:7" ht="15.75" customHeight="1" x14ac:dyDescent="0.2">
      <c r="A8" s="92" t="s">
        <v>16</v>
      </c>
      <c r="B8" s="3" t="s">
        <v>12</v>
      </c>
      <c r="C8" s="24">
        <v>64900</v>
      </c>
      <c r="D8" s="24">
        <f t="shared" ref="D8:G8" si="3">C8</f>
        <v>64900</v>
      </c>
      <c r="E8" s="24">
        <f t="shared" si="3"/>
        <v>64900</v>
      </c>
      <c r="F8" s="24">
        <f t="shared" si="3"/>
        <v>64900</v>
      </c>
      <c r="G8" s="24">
        <f t="shared" si="3"/>
        <v>64900</v>
      </c>
    </row>
    <row r="9" spans="1:7" ht="15.75" customHeight="1" x14ac:dyDescent="0.2">
      <c r="A9" s="93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113810</v>
      </c>
      <c r="D10" s="7">
        <f t="shared" si="5"/>
        <v>115710</v>
      </c>
      <c r="E10" s="7">
        <f t="shared" si="5"/>
        <v>117610</v>
      </c>
      <c r="F10" s="7">
        <f t="shared" si="5"/>
        <v>119510</v>
      </c>
      <c r="G10" s="7">
        <f t="shared" si="5"/>
        <v>123310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59900</v>
      </c>
      <c r="D11" s="7">
        <f t="shared" si="6"/>
        <v>60900</v>
      </c>
      <c r="E11" s="7">
        <f t="shared" si="6"/>
        <v>61900</v>
      </c>
      <c r="F11" s="7">
        <f t="shared" si="6"/>
        <v>62900</v>
      </c>
      <c r="G11" s="7">
        <f t="shared" si="6"/>
        <v>64900</v>
      </c>
    </row>
    <row r="12" spans="1:7" ht="15.75" customHeight="1" x14ac:dyDescent="0.2">
      <c r="A12" s="92" t="s">
        <v>17</v>
      </c>
      <c r="B12" s="3" t="s">
        <v>12</v>
      </c>
      <c r="C12" s="24">
        <f>C8*1.05</f>
        <v>68145</v>
      </c>
      <c r="D12" s="24">
        <f t="shared" ref="D12:G12" si="7">C12</f>
        <v>68145</v>
      </c>
      <c r="E12" s="24">
        <f t="shared" si="7"/>
        <v>68145</v>
      </c>
      <c r="F12" s="24">
        <f t="shared" si="7"/>
        <v>68145</v>
      </c>
      <c r="G12" s="24">
        <f t="shared" si="7"/>
        <v>68145</v>
      </c>
    </row>
    <row r="13" spans="1:7" ht="15.75" customHeight="1" x14ac:dyDescent="0.2">
      <c r="A13" s="93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93"/>
      <c r="B14" s="6" t="s">
        <v>14</v>
      </c>
      <c r="C14" s="7">
        <f t="shared" ref="C14:G14" si="9">(C12-C13)*2*0.95</f>
        <v>119975.5</v>
      </c>
      <c r="D14" s="7">
        <f t="shared" si="9"/>
        <v>121875.5</v>
      </c>
      <c r="E14" s="7">
        <f t="shared" si="9"/>
        <v>123775.5</v>
      </c>
      <c r="F14" s="7">
        <f t="shared" si="9"/>
        <v>125675.5</v>
      </c>
      <c r="G14" s="7">
        <f t="shared" si="9"/>
        <v>129475.5</v>
      </c>
    </row>
    <row r="15" spans="1:7" ht="15.75" customHeight="1" x14ac:dyDescent="0.2">
      <c r="A15" s="94"/>
      <c r="B15" s="6" t="s">
        <v>15</v>
      </c>
      <c r="C15" s="7">
        <f t="shared" ref="C15:G15" si="10">(C12-C13)</f>
        <v>63145</v>
      </c>
      <c r="D15" s="7">
        <f t="shared" si="10"/>
        <v>64145</v>
      </c>
      <c r="E15" s="7">
        <f t="shared" si="10"/>
        <v>65145</v>
      </c>
      <c r="F15" s="7">
        <f t="shared" si="10"/>
        <v>66145</v>
      </c>
      <c r="G15" s="7">
        <f t="shared" si="10"/>
        <v>68145</v>
      </c>
    </row>
    <row r="16" spans="1:7" ht="15.75" customHeight="1" x14ac:dyDescent="0.2">
      <c r="A16" s="92" t="s">
        <v>18</v>
      </c>
      <c r="B16" s="3" t="s">
        <v>12</v>
      </c>
      <c r="C16" s="24">
        <f>C12*1.05</f>
        <v>71552.25</v>
      </c>
      <c r="D16" s="24">
        <f t="shared" ref="D16:G16" si="11">C16</f>
        <v>71552.25</v>
      </c>
      <c r="E16" s="24">
        <f t="shared" si="11"/>
        <v>71552.25</v>
      </c>
      <c r="F16" s="24">
        <f t="shared" si="11"/>
        <v>71552.25</v>
      </c>
      <c r="G16" s="24">
        <f t="shared" si="11"/>
        <v>71552.25</v>
      </c>
    </row>
    <row r="17" spans="1:7" ht="15.75" customHeight="1" x14ac:dyDescent="0.2">
      <c r="A17" s="93"/>
      <c r="B17" s="3" t="s">
        <v>13</v>
      </c>
      <c r="C17" s="24">
        <f t="shared" ref="C17:G17" si="12">C13</f>
        <v>5000</v>
      </c>
      <c r="D17" s="24">
        <f t="shared" si="12"/>
        <v>4000</v>
      </c>
      <c r="E17" s="24">
        <f t="shared" si="12"/>
        <v>3000</v>
      </c>
      <c r="F17" s="24">
        <f t="shared" si="12"/>
        <v>2000</v>
      </c>
      <c r="G17" s="24">
        <f t="shared" si="12"/>
        <v>0</v>
      </c>
    </row>
    <row r="18" spans="1:7" ht="15.75" customHeight="1" x14ac:dyDescent="0.2">
      <c r="A18" s="93"/>
      <c r="B18" s="6" t="s">
        <v>14</v>
      </c>
      <c r="C18" s="7">
        <f t="shared" ref="C18:G18" si="13">(C16-C17)*2*0.95</f>
        <v>126449.27499999999</v>
      </c>
      <c r="D18" s="7">
        <f t="shared" si="13"/>
        <v>128349.27499999999</v>
      </c>
      <c r="E18" s="7">
        <f t="shared" si="13"/>
        <v>130249.27499999999</v>
      </c>
      <c r="F18" s="7">
        <f t="shared" si="13"/>
        <v>132149.27499999999</v>
      </c>
      <c r="G18" s="7">
        <f t="shared" si="13"/>
        <v>135949.27499999999</v>
      </c>
    </row>
    <row r="19" spans="1:7" ht="15.75" customHeight="1" x14ac:dyDescent="0.2">
      <c r="A19" s="94"/>
      <c r="B19" s="6" t="s">
        <v>15</v>
      </c>
      <c r="C19" s="7">
        <f t="shared" ref="C19:G19" si="14">(C16-C17)</f>
        <v>66552.25</v>
      </c>
      <c r="D19" s="7">
        <f t="shared" si="14"/>
        <v>67552.25</v>
      </c>
      <c r="E19" s="7">
        <f t="shared" si="14"/>
        <v>68552.25</v>
      </c>
      <c r="F19" s="7">
        <f t="shared" si="14"/>
        <v>69552.25</v>
      </c>
      <c r="G19" s="7">
        <f t="shared" si="14"/>
        <v>71552.25</v>
      </c>
    </row>
    <row r="20" spans="1:7" ht="15.75" customHeight="1" x14ac:dyDescent="0.2">
      <c r="A20" s="76" t="s">
        <v>19</v>
      </c>
      <c r="B20" s="75"/>
      <c r="C20" s="9">
        <f t="shared" ref="C20:G20" si="15">SUM(C6,C10,C14,C18)</f>
        <v>471764.77500000002</v>
      </c>
      <c r="D20" s="9">
        <f t="shared" si="15"/>
        <v>479364.77500000002</v>
      </c>
      <c r="E20" s="9">
        <f t="shared" si="15"/>
        <v>486964.77500000002</v>
      </c>
      <c r="F20" s="9">
        <f t="shared" si="15"/>
        <v>494564.77500000002</v>
      </c>
      <c r="G20" s="9">
        <f t="shared" si="15"/>
        <v>509764.77500000002</v>
      </c>
    </row>
    <row r="21" spans="1:7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78"/>
    </row>
    <row r="22" spans="1:7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0"/>
    </row>
    <row r="23" spans="1:7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0"/>
    </row>
    <row r="24" spans="1:7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0"/>
    </row>
    <row r="25" spans="1:7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2"/>
    </row>
    <row r="26" spans="1:7" ht="15.75" customHeight="1" x14ac:dyDescent="0.2">
      <c r="A26" s="73" t="s">
        <v>27</v>
      </c>
      <c r="B26" s="74"/>
      <c r="C26" s="74"/>
      <c r="D26" s="74"/>
      <c r="E26" s="74"/>
      <c r="F26" s="74"/>
      <c r="G26" s="75"/>
    </row>
    <row r="27" spans="1:7" ht="15.75" customHeight="1" x14ac:dyDescent="0.2">
      <c r="A27" s="73" t="s">
        <v>28</v>
      </c>
      <c r="B27" s="74"/>
      <c r="C27" s="74"/>
      <c r="D27" s="74"/>
      <c r="E27" s="74"/>
      <c r="F27" s="74"/>
      <c r="G27" s="75"/>
    </row>
    <row r="28" spans="1:7" ht="15.75" customHeight="1" x14ac:dyDescent="0.2">
      <c r="A28" s="95" t="s">
        <v>29</v>
      </c>
      <c r="B28" s="74"/>
      <c r="C28" s="74"/>
      <c r="D28" s="74"/>
      <c r="E28" s="74"/>
      <c r="F28" s="74"/>
      <c r="G28" s="75"/>
    </row>
    <row r="29" spans="1:7" ht="15.75" customHeight="1" x14ac:dyDescent="0.2">
      <c r="A29" s="95" t="s">
        <v>30</v>
      </c>
      <c r="B29" s="74"/>
      <c r="C29" s="74"/>
      <c r="D29" s="74"/>
      <c r="E29" s="74"/>
      <c r="F29" s="74"/>
      <c r="G29" s="75"/>
    </row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G1"/>
    <mergeCell ref="A2:G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8" width="8.6640625" customWidth="1"/>
    <col min="9" max="26" width="11.1640625" customWidth="1"/>
  </cols>
  <sheetData>
    <row r="1" spans="1:7" ht="15.75" customHeight="1" x14ac:dyDescent="0.2">
      <c r="A1" s="90" t="s">
        <v>148</v>
      </c>
      <c r="B1" s="74"/>
      <c r="C1" s="74"/>
      <c r="D1" s="74"/>
      <c r="E1" s="74"/>
      <c r="F1" s="74"/>
      <c r="G1" s="75"/>
    </row>
    <row r="2" spans="1:7" ht="51" customHeight="1" x14ac:dyDescent="0.2">
      <c r="A2" s="91" t="s">
        <v>149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</row>
    <row r="4" spans="1:7" ht="15.75" customHeight="1" x14ac:dyDescent="0.2">
      <c r="A4" s="92" t="s">
        <v>11</v>
      </c>
      <c r="B4" s="3" t="s">
        <v>12</v>
      </c>
      <c r="C4" s="24">
        <v>60700</v>
      </c>
      <c r="D4" s="24">
        <f t="shared" ref="D4:G4" si="0">C4</f>
        <v>60700</v>
      </c>
      <c r="E4" s="24">
        <f t="shared" si="0"/>
        <v>60700</v>
      </c>
      <c r="F4" s="24">
        <f t="shared" si="0"/>
        <v>60700</v>
      </c>
      <c r="G4" s="24">
        <f t="shared" si="0"/>
        <v>60700</v>
      </c>
    </row>
    <row r="5" spans="1:7" ht="15.75" customHeight="1" x14ac:dyDescent="0.2">
      <c r="A5" s="93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105830</v>
      </c>
      <c r="D6" s="7">
        <f t="shared" si="1"/>
        <v>107730</v>
      </c>
      <c r="E6" s="7">
        <f t="shared" si="1"/>
        <v>109630</v>
      </c>
      <c r="F6" s="7">
        <f t="shared" si="1"/>
        <v>111530</v>
      </c>
      <c r="G6" s="7">
        <f t="shared" si="1"/>
        <v>115330</v>
      </c>
    </row>
    <row r="7" spans="1:7" ht="15.75" customHeight="1" x14ac:dyDescent="0.2">
      <c r="A7" s="94"/>
      <c r="B7" s="6" t="s">
        <v>15</v>
      </c>
      <c r="C7" s="7">
        <f t="shared" ref="C7:G7" si="2">(C4-C5)</f>
        <v>55700</v>
      </c>
      <c r="D7" s="7">
        <f t="shared" si="2"/>
        <v>56700</v>
      </c>
      <c r="E7" s="7">
        <f t="shared" si="2"/>
        <v>57700</v>
      </c>
      <c r="F7" s="7">
        <f t="shared" si="2"/>
        <v>58700</v>
      </c>
      <c r="G7" s="7">
        <f t="shared" si="2"/>
        <v>60700</v>
      </c>
    </row>
    <row r="8" spans="1:7" ht="15.75" customHeight="1" x14ac:dyDescent="0.2">
      <c r="A8" s="92" t="s">
        <v>16</v>
      </c>
      <c r="B8" s="3" t="s">
        <v>12</v>
      </c>
      <c r="C8" s="24">
        <v>61900</v>
      </c>
      <c r="D8" s="24">
        <f t="shared" ref="D8:G8" si="3">C8</f>
        <v>61900</v>
      </c>
      <c r="E8" s="24">
        <f t="shared" si="3"/>
        <v>61900</v>
      </c>
      <c r="F8" s="24">
        <f t="shared" si="3"/>
        <v>61900</v>
      </c>
      <c r="G8" s="24">
        <f t="shared" si="3"/>
        <v>61900</v>
      </c>
    </row>
    <row r="9" spans="1:7" ht="15.75" customHeight="1" x14ac:dyDescent="0.2">
      <c r="A9" s="93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108110</v>
      </c>
      <c r="D10" s="7">
        <f t="shared" si="5"/>
        <v>110010</v>
      </c>
      <c r="E10" s="7">
        <f t="shared" si="5"/>
        <v>111910</v>
      </c>
      <c r="F10" s="7">
        <f t="shared" si="5"/>
        <v>113810</v>
      </c>
      <c r="G10" s="7">
        <f t="shared" si="5"/>
        <v>117610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56900</v>
      </c>
      <c r="D11" s="7">
        <f t="shared" si="6"/>
        <v>57900</v>
      </c>
      <c r="E11" s="7">
        <f t="shared" si="6"/>
        <v>58900</v>
      </c>
      <c r="F11" s="7">
        <f t="shared" si="6"/>
        <v>59900</v>
      </c>
      <c r="G11" s="7">
        <f t="shared" si="6"/>
        <v>61900</v>
      </c>
    </row>
    <row r="12" spans="1:7" ht="15.75" customHeight="1" x14ac:dyDescent="0.2">
      <c r="A12" s="92" t="s">
        <v>17</v>
      </c>
      <c r="B12" s="3" t="s">
        <v>12</v>
      </c>
      <c r="C12" s="24">
        <f>C8*1.05</f>
        <v>64995</v>
      </c>
      <c r="D12" s="24">
        <f t="shared" ref="D12:G12" si="7">C12</f>
        <v>64995</v>
      </c>
      <c r="E12" s="24">
        <f t="shared" si="7"/>
        <v>64995</v>
      </c>
      <c r="F12" s="24">
        <f t="shared" si="7"/>
        <v>64995</v>
      </c>
      <c r="G12" s="24">
        <f t="shared" si="7"/>
        <v>64995</v>
      </c>
    </row>
    <row r="13" spans="1:7" ht="15.75" customHeight="1" x14ac:dyDescent="0.2">
      <c r="A13" s="93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93"/>
      <c r="B14" s="6" t="s">
        <v>14</v>
      </c>
      <c r="C14" s="7">
        <f t="shared" ref="C14:G14" si="9">(C12-C13)*2*0.95</f>
        <v>113990.5</v>
      </c>
      <c r="D14" s="7">
        <f t="shared" si="9"/>
        <v>115890.5</v>
      </c>
      <c r="E14" s="7">
        <f t="shared" si="9"/>
        <v>117790.5</v>
      </c>
      <c r="F14" s="7">
        <f t="shared" si="9"/>
        <v>119690.5</v>
      </c>
      <c r="G14" s="7">
        <f t="shared" si="9"/>
        <v>123490.5</v>
      </c>
    </row>
    <row r="15" spans="1:7" ht="15.75" customHeight="1" x14ac:dyDescent="0.2">
      <c r="A15" s="94"/>
      <c r="B15" s="6" t="s">
        <v>15</v>
      </c>
      <c r="C15" s="7">
        <f t="shared" ref="C15:G15" si="10">(C12-C13)</f>
        <v>59995</v>
      </c>
      <c r="D15" s="7">
        <f t="shared" si="10"/>
        <v>60995</v>
      </c>
      <c r="E15" s="7">
        <f t="shared" si="10"/>
        <v>61995</v>
      </c>
      <c r="F15" s="7">
        <f t="shared" si="10"/>
        <v>62995</v>
      </c>
      <c r="G15" s="7">
        <f t="shared" si="10"/>
        <v>64995</v>
      </c>
    </row>
    <row r="16" spans="1:7" ht="15.75" customHeight="1" x14ac:dyDescent="0.2">
      <c r="A16" s="76" t="s">
        <v>19</v>
      </c>
      <c r="B16" s="75"/>
      <c r="C16" s="9">
        <f t="shared" ref="C16:G16" si="11">SUM(C6,C10,C14)</f>
        <v>327930.5</v>
      </c>
      <c r="D16" s="9">
        <f t="shared" si="11"/>
        <v>333630.5</v>
      </c>
      <c r="E16" s="9">
        <f t="shared" si="11"/>
        <v>339330.5</v>
      </c>
      <c r="F16" s="9">
        <f t="shared" si="11"/>
        <v>345030.5</v>
      </c>
      <c r="G16" s="9">
        <f t="shared" si="11"/>
        <v>356430.5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0"/>
    </row>
    <row r="19" spans="1:8" ht="15.75" customHeight="1" x14ac:dyDescent="0.2">
      <c r="A19" s="81"/>
      <c r="B19" s="82"/>
      <c r="C19" s="88" t="s">
        <v>23</v>
      </c>
      <c r="D19" s="75"/>
      <c r="E19" s="10">
        <v>5000</v>
      </c>
      <c r="F19" s="79"/>
      <c r="G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G1"/>
    <mergeCell ref="A2:G2"/>
    <mergeCell ref="A4:A7"/>
    <mergeCell ref="A8:A11"/>
    <mergeCell ref="A12:A15"/>
    <mergeCell ref="A16:B16"/>
    <mergeCell ref="A17:B19"/>
    <mergeCell ref="A22:G22"/>
    <mergeCell ref="A23:G23"/>
    <mergeCell ref="A24:G24"/>
    <mergeCell ref="A25:H25"/>
    <mergeCell ref="C17:D17"/>
    <mergeCell ref="F17:G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90" t="s">
        <v>150</v>
      </c>
      <c r="B1" s="74"/>
      <c r="C1" s="74"/>
      <c r="D1" s="74"/>
      <c r="E1" s="74"/>
      <c r="F1" s="74"/>
      <c r="G1" s="75"/>
    </row>
    <row r="2" spans="1:7" ht="38.25" customHeight="1" x14ac:dyDescent="0.2">
      <c r="A2" s="91" t="s">
        <v>151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</row>
    <row r="4" spans="1:7" ht="15.75" customHeight="1" x14ac:dyDescent="0.2">
      <c r="A4" s="92" t="s">
        <v>11</v>
      </c>
      <c r="B4" s="3" t="s">
        <v>12</v>
      </c>
      <c r="C4" s="24">
        <v>60700</v>
      </c>
      <c r="D4" s="24">
        <f t="shared" ref="D4:G4" si="0">C4</f>
        <v>60700</v>
      </c>
      <c r="E4" s="24">
        <f t="shared" si="0"/>
        <v>60700</v>
      </c>
      <c r="F4" s="24">
        <f t="shared" si="0"/>
        <v>60700</v>
      </c>
      <c r="G4" s="24">
        <f t="shared" si="0"/>
        <v>60700</v>
      </c>
    </row>
    <row r="5" spans="1:7" ht="15.75" customHeight="1" x14ac:dyDescent="0.2">
      <c r="A5" s="93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105830</v>
      </c>
      <c r="D6" s="7">
        <f t="shared" si="1"/>
        <v>107730</v>
      </c>
      <c r="E6" s="7">
        <f t="shared" si="1"/>
        <v>109630</v>
      </c>
      <c r="F6" s="7">
        <f t="shared" si="1"/>
        <v>111530</v>
      </c>
      <c r="G6" s="7">
        <f t="shared" si="1"/>
        <v>115330</v>
      </c>
    </row>
    <row r="7" spans="1:7" ht="15.75" customHeight="1" x14ac:dyDescent="0.2">
      <c r="A7" s="94"/>
      <c r="B7" s="6" t="s">
        <v>15</v>
      </c>
      <c r="C7" s="7">
        <f t="shared" ref="C7:G7" si="2">(C4-C5)</f>
        <v>55700</v>
      </c>
      <c r="D7" s="7">
        <f t="shared" si="2"/>
        <v>56700</v>
      </c>
      <c r="E7" s="7">
        <f t="shared" si="2"/>
        <v>57700</v>
      </c>
      <c r="F7" s="7">
        <f t="shared" si="2"/>
        <v>58700</v>
      </c>
      <c r="G7" s="7">
        <f t="shared" si="2"/>
        <v>60700</v>
      </c>
    </row>
    <row r="8" spans="1:7" ht="15.75" customHeight="1" x14ac:dyDescent="0.2">
      <c r="A8" s="92" t="s">
        <v>16</v>
      </c>
      <c r="B8" s="3" t="s">
        <v>12</v>
      </c>
      <c r="C8" s="24">
        <v>61900</v>
      </c>
      <c r="D8" s="24">
        <f t="shared" ref="D8:G8" si="3">C8</f>
        <v>61900</v>
      </c>
      <c r="E8" s="24">
        <f t="shared" si="3"/>
        <v>61900</v>
      </c>
      <c r="F8" s="24">
        <f t="shared" si="3"/>
        <v>61900</v>
      </c>
      <c r="G8" s="24">
        <f t="shared" si="3"/>
        <v>61900</v>
      </c>
    </row>
    <row r="9" spans="1:7" ht="15.75" customHeight="1" x14ac:dyDescent="0.2">
      <c r="A9" s="93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108110</v>
      </c>
      <c r="D10" s="7">
        <f t="shared" si="5"/>
        <v>110010</v>
      </c>
      <c r="E10" s="7">
        <f t="shared" si="5"/>
        <v>111910</v>
      </c>
      <c r="F10" s="7">
        <f t="shared" si="5"/>
        <v>113810</v>
      </c>
      <c r="G10" s="7">
        <f t="shared" si="5"/>
        <v>117610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56900</v>
      </c>
      <c r="D11" s="7">
        <f t="shared" si="6"/>
        <v>57900</v>
      </c>
      <c r="E11" s="7">
        <f t="shared" si="6"/>
        <v>58900</v>
      </c>
      <c r="F11" s="7">
        <f t="shared" si="6"/>
        <v>59900</v>
      </c>
      <c r="G11" s="7">
        <f t="shared" si="6"/>
        <v>61900</v>
      </c>
    </row>
    <row r="12" spans="1:7" ht="15.75" customHeight="1" x14ac:dyDescent="0.2">
      <c r="A12" s="92" t="s">
        <v>17</v>
      </c>
      <c r="B12" s="3" t="s">
        <v>12</v>
      </c>
      <c r="C12" s="24">
        <f>C8*1.05</f>
        <v>64995</v>
      </c>
      <c r="D12" s="24">
        <f t="shared" ref="D12:G12" si="7">C12</f>
        <v>64995</v>
      </c>
      <c r="E12" s="24">
        <f t="shared" si="7"/>
        <v>64995</v>
      </c>
      <c r="F12" s="24">
        <f t="shared" si="7"/>
        <v>64995</v>
      </c>
      <c r="G12" s="24">
        <f t="shared" si="7"/>
        <v>64995</v>
      </c>
    </row>
    <row r="13" spans="1:7" ht="15.75" customHeight="1" x14ac:dyDescent="0.2">
      <c r="A13" s="93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93"/>
      <c r="B14" s="6" t="s">
        <v>14</v>
      </c>
      <c r="C14" s="7">
        <f t="shared" ref="C14:G14" si="9">(C12-C13)*2*0.95</f>
        <v>113990.5</v>
      </c>
      <c r="D14" s="7">
        <f t="shared" si="9"/>
        <v>115890.5</v>
      </c>
      <c r="E14" s="7">
        <f t="shared" si="9"/>
        <v>117790.5</v>
      </c>
      <c r="F14" s="7">
        <f t="shared" si="9"/>
        <v>119690.5</v>
      </c>
      <c r="G14" s="7">
        <f t="shared" si="9"/>
        <v>123490.5</v>
      </c>
    </row>
    <row r="15" spans="1:7" ht="15.75" customHeight="1" x14ac:dyDescent="0.2">
      <c r="A15" s="94"/>
      <c r="B15" s="6" t="s">
        <v>15</v>
      </c>
      <c r="C15" s="7">
        <f t="shared" ref="C15:G15" si="10">(C12-C13)</f>
        <v>59995</v>
      </c>
      <c r="D15" s="7">
        <f t="shared" si="10"/>
        <v>60995</v>
      </c>
      <c r="E15" s="7">
        <f t="shared" si="10"/>
        <v>61995</v>
      </c>
      <c r="F15" s="7">
        <f t="shared" si="10"/>
        <v>62995</v>
      </c>
      <c r="G15" s="7">
        <f t="shared" si="10"/>
        <v>64995</v>
      </c>
    </row>
    <row r="16" spans="1:7" ht="15.75" customHeight="1" x14ac:dyDescent="0.2">
      <c r="A16" s="76" t="s">
        <v>19</v>
      </c>
      <c r="B16" s="75"/>
      <c r="C16" s="9">
        <f t="shared" ref="C16:G16" si="11">SUM(C6,C10,C14)</f>
        <v>327930.5</v>
      </c>
      <c r="D16" s="9">
        <f t="shared" si="11"/>
        <v>333630.5</v>
      </c>
      <c r="E16" s="9">
        <f t="shared" si="11"/>
        <v>339330.5</v>
      </c>
      <c r="F16" s="9">
        <f t="shared" si="11"/>
        <v>345030.5</v>
      </c>
      <c r="G16" s="9">
        <f t="shared" si="11"/>
        <v>356430.5</v>
      </c>
    </row>
    <row r="17" spans="1:7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78"/>
    </row>
    <row r="18" spans="1:7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0"/>
    </row>
    <row r="19" spans="1:7" ht="15.75" customHeight="1" x14ac:dyDescent="0.2">
      <c r="A19" s="81"/>
      <c r="B19" s="82"/>
      <c r="C19" s="88" t="s">
        <v>23</v>
      </c>
      <c r="D19" s="75"/>
      <c r="E19" s="10">
        <v>5000</v>
      </c>
      <c r="F19" s="79"/>
      <c r="G19" s="80"/>
    </row>
    <row r="20" spans="1:7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0"/>
    </row>
    <row r="21" spans="1:7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2"/>
    </row>
    <row r="22" spans="1:7" ht="15.75" customHeight="1" x14ac:dyDescent="0.2">
      <c r="A22" s="73" t="s">
        <v>27</v>
      </c>
      <c r="B22" s="74"/>
      <c r="C22" s="74"/>
      <c r="D22" s="74"/>
      <c r="E22" s="74"/>
      <c r="F22" s="74"/>
      <c r="G22" s="75"/>
    </row>
    <row r="23" spans="1:7" ht="15.75" customHeight="1" x14ac:dyDescent="0.2">
      <c r="A23" s="73" t="s">
        <v>28</v>
      </c>
      <c r="B23" s="74"/>
      <c r="C23" s="74"/>
      <c r="D23" s="74"/>
      <c r="E23" s="74"/>
      <c r="F23" s="74"/>
      <c r="G23" s="75"/>
    </row>
    <row r="24" spans="1:7" ht="15.75" customHeight="1" x14ac:dyDescent="0.2">
      <c r="A24" s="95" t="s">
        <v>29</v>
      </c>
      <c r="B24" s="74"/>
      <c r="C24" s="74"/>
      <c r="D24" s="74"/>
      <c r="E24" s="74"/>
      <c r="F24" s="74"/>
      <c r="G24" s="75"/>
    </row>
    <row r="25" spans="1:7" ht="15.75" customHeight="1" x14ac:dyDescent="0.2">
      <c r="A25" s="95" t="s">
        <v>30</v>
      </c>
      <c r="B25" s="74"/>
      <c r="C25" s="74"/>
      <c r="D25" s="74"/>
      <c r="E25" s="74"/>
      <c r="F25" s="74"/>
      <c r="G25" s="75"/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G1"/>
    <mergeCell ref="A2:G2"/>
    <mergeCell ref="A4:A7"/>
    <mergeCell ref="A8:A11"/>
    <mergeCell ref="A12:A15"/>
    <mergeCell ref="A16:B16"/>
    <mergeCell ref="A17:B19"/>
    <mergeCell ref="A22:G22"/>
    <mergeCell ref="A23:G23"/>
    <mergeCell ref="A24:G24"/>
    <mergeCell ref="A25:G25"/>
    <mergeCell ref="C17:D17"/>
    <mergeCell ref="F17:G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90" t="s">
        <v>152</v>
      </c>
      <c r="B1" s="74"/>
      <c r="C1" s="74"/>
      <c r="D1" s="74"/>
      <c r="E1" s="74"/>
      <c r="F1" s="74"/>
      <c r="G1" s="75"/>
    </row>
    <row r="2" spans="1:7" ht="35.25" customHeight="1" x14ac:dyDescent="0.2">
      <c r="A2" s="91" t="s">
        <v>153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</row>
    <row r="4" spans="1:7" ht="15.75" customHeight="1" x14ac:dyDescent="0.2">
      <c r="A4" s="92" t="s">
        <v>11</v>
      </c>
      <c r="B4" s="3" t="s">
        <v>12</v>
      </c>
      <c r="C4" s="24">
        <v>60700</v>
      </c>
      <c r="D4" s="24">
        <f t="shared" ref="D4:G4" si="0">C4</f>
        <v>60700</v>
      </c>
      <c r="E4" s="24">
        <f t="shared" si="0"/>
        <v>60700</v>
      </c>
      <c r="F4" s="24">
        <f t="shared" si="0"/>
        <v>60700</v>
      </c>
      <c r="G4" s="24">
        <f t="shared" si="0"/>
        <v>60700</v>
      </c>
    </row>
    <row r="5" spans="1:7" ht="15.75" customHeight="1" x14ac:dyDescent="0.2">
      <c r="A5" s="93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105830</v>
      </c>
      <c r="D6" s="7">
        <f t="shared" si="1"/>
        <v>107730</v>
      </c>
      <c r="E6" s="7">
        <f t="shared" si="1"/>
        <v>109630</v>
      </c>
      <c r="F6" s="7">
        <f t="shared" si="1"/>
        <v>111530</v>
      </c>
      <c r="G6" s="7">
        <f t="shared" si="1"/>
        <v>115330</v>
      </c>
    </row>
    <row r="7" spans="1:7" ht="15.75" customHeight="1" x14ac:dyDescent="0.2">
      <c r="A7" s="94"/>
      <c r="B7" s="6" t="s">
        <v>15</v>
      </c>
      <c r="C7" s="7">
        <f t="shared" ref="C7:G7" si="2">(C4-C5)</f>
        <v>55700</v>
      </c>
      <c r="D7" s="7">
        <f t="shared" si="2"/>
        <v>56700</v>
      </c>
      <c r="E7" s="7">
        <f t="shared" si="2"/>
        <v>57700</v>
      </c>
      <c r="F7" s="7">
        <f t="shared" si="2"/>
        <v>58700</v>
      </c>
      <c r="G7" s="7">
        <f t="shared" si="2"/>
        <v>60700</v>
      </c>
    </row>
    <row r="8" spans="1:7" ht="15.75" customHeight="1" x14ac:dyDescent="0.2">
      <c r="A8" s="92" t="s">
        <v>16</v>
      </c>
      <c r="B8" s="3" t="s">
        <v>12</v>
      </c>
      <c r="C8" s="24">
        <v>61900</v>
      </c>
      <c r="D8" s="24">
        <f t="shared" ref="D8:G8" si="3">C8</f>
        <v>61900</v>
      </c>
      <c r="E8" s="24">
        <f t="shared" si="3"/>
        <v>61900</v>
      </c>
      <c r="F8" s="24">
        <f t="shared" si="3"/>
        <v>61900</v>
      </c>
      <c r="G8" s="24">
        <f t="shared" si="3"/>
        <v>61900</v>
      </c>
    </row>
    <row r="9" spans="1:7" ht="15.75" customHeight="1" x14ac:dyDescent="0.2">
      <c r="A9" s="93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108110</v>
      </c>
      <c r="D10" s="7">
        <f t="shared" si="5"/>
        <v>110010</v>
      </c>
      <c r="E10" s="7">
        <f t="shared" si="5"/>
        <v>111910</v>
      </c>
      <c r="F10" s="7">
        <f t="shared" si="5"/>
        <v>113810</v>
      </c>
      <c r="G10" s="7">
        <f t="shared" si="5"/>
        <v>117610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56900</v>
      </c>
      <c r="D11" s="7">
        <f t="shared" si="6"/>
        <v>57900</v>
      </c>
      <c r="E11" s="7">
        <f t="shared" si="6"/>
        <v>58900</v>
      </c>
      <c r="F11" s="7">
        <f t="shared" si="6"/>
        <v>59900</v>
      </c>
      <c r="G11" s="7">
        <f t="shared" si="6"/>
        <v>61900</v>
      </c>
    </row>
    <row r="12" spans="1:7" ht="15.75" customHeight="1" x14ac:dyDescent="0.2">
      <c r="A12" s="92" t="s">
        <v>17</v>
      </c>
      <c r="B12" s="3" t="s">
        <v>12</v>
      </c>
      <c r="C12" s="24">
        <f>C8*1.05</f>
        <v>64995</v>
      </c>
      <c r="D12" s="24">
        <f t="shared" ref="D12:G12" si="7">C12</f>
        <v>64995</v>
      </c>
      <c r="E12" s="24">
        <f t="shared" si="7"/>
        <v>64995</v>
      </c>
      <c r="F12" s="24">
        <f t="shared" si="7"/>
        <v>64995</v>
      </c>
      <c r="G12" s="24">
        <f t="shared" si="7"/>
        <v>64995</v>
      </c>
    </row>
    <row r="13" spans="1:7" ht="15.75" customHeight="1" x14ac:dyDescent="0.2">
      <c r="A13" s="93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93"/>
      <c r="B14" s="6" t="s">
        <v>14</v>
      </c>
      <c r="C14" s="7">
        <f t="shared" ref="C14:G14" si="9">(C12-C13)*2*0.95</f>
        <v>113990.5</v>
      </c>
      <c r="D14" s="7">
        <f t="shared" si="9"/>
        <v>115890.5</v>
      </c>
      <c r="E14" s="7">
        <f t="shared" si="9"/>
        <v>117790.5</v>
      </c>
      <c r="F14" s="7">
        <f t="shared" si="9"/>
        <v>119690.5</v>
      </c>
      <c r="G14" s="7">
        <f t="shared" si="9"/>
        <v>123490.5</v>
      </c>
    </row>
    <row r="15" spans="1:7" ht="15.75" customHeight="1" x14ac:dyDescent="0.2">
      <c r="A15" s="94"/>
      <c r="B15" s="6" t="s">
        <v>15</v>
      </c>
      <c r="C15" s="7">
        <f t="shared" ref="C15:G15" si="10">(C12-C13)</f>
        <v>59995</v>
      </c>
      <c r="D15" s="7">
        <f t="shared" si="10"/>
        <v>60995</v>
      </c>
      <c r="E15" s="7">
        <f t="shared" si="10"/>
        <v>61995</v>
      </c>
      <c r="F15" s="7">
        <f t="shared" si="10"/>
        <v>62995</v>
      </c>
      <c r="G15" s="7">
        <f t="shared" si="10"/>
        <v>64995</v>
      </c>
    </row>
    <row r="16" spans="1:7" ht="15.75" customHeight="1" x14ac:dyDescent="0.2">
      <c r="A16" s="76" t="s">
        <v>19</v>
      </c>
      <c r="B16" s="75"/>
      <c r="C16" s="9">
        <f t="shared" ref="C16:G16" si="11">SUM(C6,C10,C14)</f>
        <v>327930.5</v>
      </c>
      <c r="D16" s="9">
        <f t="shared" si="11"/>
        <v>333630.5</v>
      </c>
      <c r="E16" s="9">
        <f t="shared" si="11"/>
        <v>339330.5</v>
      </c>
      <c r="F16" s="9">
        <f t="shared" si="11"/>
        <v>345030.5</v>
      </c>
      <c r="G16" s="9">
        <f t="shared" si="11"/>
        <v>356430.5</v>
      </c>
    </row>
    <row r="17" spans="1:7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78"/>
    </row>
    <row r="18" spans="1:7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0"/>
    </row>
    <row r="19" spans="1:7" ht="15.75" customHeight="1" x14ac:dyDescent="0.2">
      <c r="A19" s="81"/>
      <c r="B19" s="82"/>
      <c r="C19" s="88" t="s">
        <v>23</v>
      </c>
      <c r="D19" s="75"/>
      <c r="E19" s="10">
        <v>5000</v>
      </c>
      <c r="F19" s="79"/>
      <c r="G19" s="80"/>
    </row>
    <row r="20" spans="1:7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0"/>
    </row>
    <row r="21" spans="1:7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2"/>
    </row>
    <row r="22" spans="1:7" ht="15.75" customHeight="1" x14ac:dyDescent="0.2">
      <c r="A22" s="73" t="s">
        <v>27</v>
      </c>
      <c r="B22" s="74"/>
      <c r="C22" s="74"/>
      <c r="D22" s="74"/>
      <c r="E22" s="74"/>
      <c r="F22" s="74"/>
      <c r="G22" s="75"/>
    </row>
    <row r="23" spans="1:7" ht="15.75" customHeight="1" x14ac:dyDescent="0.2">
      <c r="A23" s="73" t="s">
        <v>28</v>
      </c>
      <c r="B23" s="74"/>
      <c r="C23" s="74"/>
      <c r="D23" s="74"/>
      <c r="E23" s="74"/>
      <c r="F23" s="74"/>
      <c r="G23" s="75"/>
    </row>
    <row r="24" spans="1:7" ht="15.75" customHeight="1" x14ac:dyDescent="0.2">
      <c r="A24" s="95" t="s">
        <v>29</v>
      </c>
      <c r="B24" s="74"/>
      <c r="C24" s="74"/>
      <c r="D24" s="74"/>
      <c r="E24" s="74"/>
      <c r="F24" s="74"/>
      <c r="G24" s="75"/>
    </row>
    <row r="25" spans="1:7" ht="15.75" customHeight="1" x14ac:dyDescent="0.2">
      <c r="A25" s="95" t="s">
        <v>30</v>
      </c>
      <c r="B25" s="74"/>
      <c r="C25" s="74"/>
      <c r="D25" s="74"/>
      <c r="E25" s="74"/>
      <c r="F25" s="74"/>
      <c r="G25" s="75"/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G1"/>
    <mergeCell ref="A2:G2"/>
    <mergeCell ref="A4:A7"/>
    <mergeCell ref="A8:A11"/>
    <mergeCell ref="A12:A15"/>
    <mergeCell ref="A16:B16"/>
    <mergeCell ref="A17:B19"/>
    <mergeCell ref="A22:G22"/>
    <mergeCell ref="A23:G23"/>
    <mergeCell ref="A24:G24"/>
    <mergeCell ref="A25:G25"/>
    <mergeCell ref="C17:D17"/>
    <mergeCell ref="F17:G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90" t="s">
        <v>154</v>
      </c>
      <c r="B1" s="74"/>
      <c r="C1" s="74"/>
      <c r="D1" s="74"/>
      <c r="E1" s="74"/>
      <c r="F1" s="74"/>
      <c r="G1" s="75"/>
    </row>
    <row r="2" spans="1:7" ht="33" customHeight="1" x14ac:dyDescent="0.2">
      <c r="A2" s="91" t="s">
        <v>155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</row>
    <row r="4" spans="1:7" ht="15.75" customHeight="1" x14ac:dyDescent="0.2">
      <c r="A4" s="92" t="s">
        <v>11</v>
      </c>
      <c r="B4" s="3" t="s">
        <v>12</v>
      </c>
      <c r="C4" s="24">
        <v>60700</v>
      </c>
      <c r="D4" s="24">
        <f t="shared" ref="D4:G4" si="0">C4</f>
        <v>60700</v>
      </c>
      <c r="E4" s="24">
        <f t="shared" si="0"/>
        <v>60700</v>
      </c>
      <c r="F4" s="24">
        <f t="shared" si="0"/>
        <v>60700</v>
      </c>
      <c r="G4" s="24">
        <f t="shared" si="0"/>
        <v>60700</v>
      </c>
    </row>
    <row r="5" spans="1:7" ht="15.75" customHeight="1" x14ac:dyDescent="0.2">
      <c r="A5" s="93"/>
      <c r="B5" s="3" t="s">
        <v>13</v>
      </c>
      <c r="C5" s="24">
        <v>5000</v>
      </c>
      <c r="D5" s="24">
        <v>4000</v>
      </c>
      <c r="E5" s="24">
        <v>3000</v>
      </c>
      <c r="F5" s="24">
        <v>2000</v>
      </c>
      <c r="G5" s="24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105830</v>
      </c>
      <c r="D6" s="7">
        <f t="shared" si="1"/>
        <v>107730</v>
      </c>
      <c r="E6" s="7">
        <f t="shared" si="1"/>
        <v>109630</v>
      </c>
      <c r="F6" s="7">
        <f t="shared" si="1"/>
        <v>111530</v>
      </c>
      <c r="G6" s="7">
        <f t="shared" si="1"/>
        <v>115330</v>
      </c>
    </row>
    <row r="7" spans="1:7" ht="15.75" customHeight="1" x14ac:dyDescent="0.2">
      <c r="A7" s="94"/>
      <c r="B7" s="6" t="s">
        <v>15</v>
      </c>
      <c r="C7" s="7">
        <f t="shared" ref="C7:G7" si="2">(C4-C5)</f>
        <v>55700</v>
      </c>
      <c r="D7" s="7">
        <f t="shared" si="2"/>
        <v>56700</v>
      </c>
      <c r="E7" s="7">
        <f t="shared" si="2"/>
        <v>57700</v>
      </c>
      <c r="F7" s="7">
        <f t="shared" si="2"/>
        <v>58700</v>
      </c>
      <c r="G7" s="7">
        <f t="shared" si="2"/>
        <v>60700</v>
      </c>
    </row>
    <row r="8" spans="1:7" ht="15.75" customHeight="1" x14ac:dyDescent="0.2">
      <c r="A8" s="92" t="s">
        <v>16</v>
      </c>
      <c r="B8" s="3" t="s">
        <v>12</v>
      </c>
      <c r="C8" s="24">
        <v>61900</v>
      </c>
      <c r="D8" s="24">
        <f t="shared" ref="D8:G8" si="3">C8</f>
        <v>61900</v>
      </c>
      <c r="E8" s="24">
        <f t="shared" si="3"/>
        <v>61900</v>
      </c>
      <c r="F8" s="24">
        <f t="shared" si="3"/>
        <v>61900</v>
      </c>
      <c r="G8" s="24">
        <f t="shared" si="3"/>
        <v>61900</v>
      </c>
    </row>
    <row r="9" spans="1:7" ht="15.75" customHeight="1" x14ac:dyDescent="0.2">
      <c r="A9" s="93"/>
      <c r="B9" s="3" t="s">
        <v>13</v>
      </c>
      <c r="C9" s="24">
        <f t="shared" ref="C9:G9" si="4">C5</f>
        <v>5000</v>
      </c>
      <c r="D9" s="24">
        <f t="shared" si="4"/>
        <v>4000</v>
      </c>
      <c r="E9" s="24">
        <f t="shared" si="4"/>
        <v>3000</v>
      </c>
      <c r="F9" s="24">
        <f t="shared" si="4"/>
        <v>2000</v>
      </c>
      <c r="G9" s="2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108110</v>
      </c>
      <c r="D10" s="7">
        <f t="shared" si="5"/>
        <v>110010</v>
      </c>
      <c r="E10" s="7">
        <f t="shared" si="5"/>
        <v>111910</v>
      </c>
      <c r="F10" s="7">
        <f t="shared" si="5"/>
        <v>113810</v>
      </c>
      <c r="G10" s="7">
        <f t="shared" si="5"/>
        <v>117610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56900</v>
      </c>
      <c r="D11" s="7">
        <f t="shared" si="6"/>
        <v>57900</v>
      </c>
      <c r="E11" s="7">
        <f t="shared" si="6"/>
        <v>58900</v>
      </c>
      <c r="F11" s="7">
        <f t="shared" si="6"/>
        <v>59900</v>
      </c>
      <c r="G11" s="7">
        <f t="shared" si="6"/>
        <v>61900</v>
      </c>
    </row>
    <row r="12" spans="1:7" ht="15.75" customHeight="1" x14ac:dyDescent="0.2">
      <c r="A12" s="92" t="s">
        <v>17</v>
      </c>
      <c r="B12" s="3" t="s">
        <v>12</v>
      </c>
      <c r="C12" s="24">
        <f>C8*1.05</f>
        <v>64995</v>
      </c>
      <c r="D12" s="24">
        <f t="shared" ref="D12:G12" si="7">C12</f>
        <v>64995</v>
      </c>
      <c r="E12" s="24">
        <f t="shared" si="7"/>
        <v>64995</v>
      </c>
      <c r="F12" s="24">
        <f t="shared" si="7"/>
        <v>64995</v>
      </c>
      <c r="G12" s="24">
        <f t="shared" si="7"/>
        <v>64995</v>
      </c>
    </row>
    <row r="13" spans="1:7" ht="15.75" customHeight="1" x14ac:dyDescent="0.2">
      <c r="A13" s="93"/>
      <c r="B13" s="3" t="s">
        <v>13</v>
      </c>
      <c r="C13" s="24">
        <f t="shared" ref="C13:G13" si="8">C9</f>
        <v>5000</v>
      </c>
      <c r="D13" s="24">
        <f t="shared" si="8"/>
        <v>4000</v>
      </c>
      <c r="E13" s="24">
        <f t="shared" si="8"/>
        <v>3000</v>
      </c>
      <c r="F13" s="24">
        <f t="shared" si="8"/>
        <v>2000</v>
      </c>
      <c r="G13" s="24">
        <f t="shared" si="8"/>
        <v>0</v>
      </c>
    </row>
    <row r="14" spans="1:7" ht="15.75" customHeight="1" x14ac:dyDescent="0.2">
      <c r="A14" s="93"/>
      <c r="B14" s="6" t="s">
        <v>14</v>
      </c>
      <c r="C14" s="7">
        <f t="shared" ref="C14:G14" si="9">(C12-C13)*2*0.95</f>
        <v>113990.5</v>
      </c>
      <c r="D14" s="7">
        <f t="shared" si="9"/>
        <v>115890.5</v>
      </c>
      <c r="E14" s="7">
        <f t="shared" si="9"/>
        <v>117790.5</v>
      </c>
      <c r="F14" s="7">
        <f t="shared" si="9"/>
        <v>119690.5</v>
      </c>
      <c r="G14" s="7">
        <f t="shared" si="9"/>
        <v>123490.5</v>
      </c>
    </row>
    <row r="15" spans="1:7" ht="15.75" customHeight="1" x14ac:dyDescent="0.2">
      <c r="A15" s="94"/>
      <c r="B15" s="6" t="s">
        <v>15</v>
      </c>
      <c r="C15" s="7">
        <f t="shared" ref="C15:G15" si="10">(C12-C13)</f>
        <v>59995</v>
      </c>
      <c r="D15" s="7">
        <f t="shared" si="10"/>
        <v>60995</v>
      </c>
      <c r="E15" s="7">
        <f t="shared" si="10"/>
        <v>61995</v>
      </c>
      <c r="F15" s="7">
        <f t="shared" si="10"/>
        <v>62995</v>
      </c>
      <c r="G15" s="7">
        <f t="shared" si="10"/>
        <v>64995</v>
      </c>
    </row>
    <row r="16" spans="1:7" ht="15.75" customHeight="1" x14ac:dyDescent="0.2">
      <c r="A16" s="76" t="s">
        <v>19</v>
      </c>
      <c r="B16" s="75"/>
      <c r="C16" s="9">
        <f t="shared" ref="C16:G16" si="11">SUM(C6,C10,C14)</f>
        <v>327930.5</v>
      </c>
      <c r="D16" s="9">
        <f t="shared" si="11"/>
        <v>333630.5</v>
      </c>
      <c r="E16" s="9">
        <f t="shared" si="11"/>
        <v>339330.5</v>
      </c>
      <c r="F16" s="9">
        <f t="shared" si="11"/>
        <v>345030.5</v>
      </c>
      <c r="G16" s="9">
        <f t="shared" si="11"/>
        <v>356430.5</v>
      </c>
    </row>
    <row r="17" spans="1:7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78"/>
    </row>
    <row r="18" spans="1:7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0"/>
    </row>
    <row r="19" spans="1:7" ht="15.75" customHeight="1" x14ac:dyDescent="0.2">
      <c r="A19" s="81"/>
      <c r="B19" s="82"/>
      <c r="C19" s="88" t="s">
        <v>23</v>
      </c>
      <c r="D19" s="75"/>
      <c r="E19" s="10">
        <v>5000</v>
      </c>
      <c r="F19" s="79"/>
      <c r="G19" s="80"/>
    </row>
    <row r="20" spans="1:7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0"/>
    </row>
    <row r="21" spans="1:7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2"/>
    </row>
    <row r="22" spans="1:7" ht="15.75" customHeight="1" x14ac:dyDescent="0.2">
      <c r="A22" s="73" t="s">
        <v>27</v>
      </c>
      <c r="B22" s="74"/>
      <c r="C22" s="74"/>
      <c r="D22" s="74"/>
      <c r="E22" s="74"/>
      <c r="F22" s="74"/>
      <c r="G22" s="75"/>
    </row>
    <row r="23" spans="1:7" ht="15.75" customHeight="1" x14ac:dyDescent="0.2">
      <c r="A23" s="73" t="s">
        <v>28</v>
      </c>
      <c r="B23" s="74"/>
      <c r="C23" s="74"/>
      <c r="D23" s="74"/>
      <c r="E23" s="74"/>
      <c r="F23" s="74"/>
      <c r="G23" s="75"/>
    </row>
    <row r="24" spans="1:7" ht="15.75" customHeight="1" x14ac:dyDescent="0.2">
      <c r="A24" s="95" t="s">
        <v>29</v>
      </c>
      <c r="B24" s="74"/>
      <c r="C24" s="74"/>
      <c r="D24" s="74"/>
      <c r="E24" s="74"/>
      <c r="F24" s="74"/>
      <c r="G24" s="75"/>
    </row>
    <row r="25" spans="1:7" ht="15.75" customHeight="1" x14ac:dyDescent="0.2">
      <c r="A25" s="95" t="s">
        <v>30</v>
      </c>
      <c r="B25" s="74"/>
      <c r="C25" s="74"/>
      <c r="D25" s="74"/>
      <c r="E25" s="74"/>
      <c r="F25" s="74"/>
      <c r="G25" s="75"/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G1"/>
    <mergeCell ref="A2:G2"/>
    <mergeCell ref="A4:A7"/>
    <mergeCell ref="A8:A11"/>
    <mergeCell ref="A12:A15"/>
    <mergeCell ref="A16:B16"/>
    <mergeCell ref="A17:B19"/>
    <mergeCell ref="A22:G22"/>
    <mergeCell ref="A23:G23"/>
    <mergeCell ref="A24:G24"/>
    <mergeCell ref="A25:G25"/>
    <mergeCell ref="C17:D17"/>
    <mergeCell ref="F17:G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113" t="s">
        <v>156</v>
      </c>
      <c r="B1" s="86"/>
      <c r="C1" s="86"/>
      <c r="D1" s="86"/>
      <c r="E1" s="86"/>
      <c r="F1" s="86"/>
      <c r="G1" s="86"/>
    </row>
    <row r="2" spans="1:7" ht="33" customHeight="1" x14ac:dyDescent="0.2">
      <c r="A2" s="114" t="s">
        <v>157</v>
      </c>
      <c r="B2" s="87"/>
      <c r="C2" s="87"/>
      <c r="D2" s="87"/>
      <c r="E2" s="87"/>
      <c r="F2" s="87"/>
      <c r="G2" s="87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93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10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10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20900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10950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95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95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90" t="s">
        <v>163</v>
      </c>
      <c r="B1" s="74"/>
      <c r="C1" s="74"/>
      <c r="D1" s="74"/>
      <c r="E1" s="74"/>
      <c r="F1" s="74"/>
      <c r="G1" s="74"/>
      <c r="H1" s="75"/>
    </row>
    <row r="2" spans="1:13" ht="42.75" customHeight="1" x14ac:dyDescent="0.2">
      <c r="A2" s="91" t="s">
        <v>164</v>
      </c>
      <c r="B2" s="74"/>
      <c r="C2" s="74"/>
      <c r="D2" s="74"/>
      <c r="E2" s="74"/>
      <c r="F2" s="74"/>
      <c r="G2" s="74"/>
      <c r="H2" s="75"/>
    </row>
    <row r="3" spans="1:13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165</v>
      </c>
    </row>
    <row r="4" spans="1:13" ht="15.75" customHeight="1" x14ac:dyDescent="0.2">
      <c r="A4" s="92" t="s">
        <v>11</v>
      </c>
      <c r="B4" s="3" t="s">
        <v>12</v>
      </c>
      <c r="C4" s="16">
        <v>59700</v>
      </c>
      <c r="D4" s="16">
        <f t="shared" ref="D4:H4" si="0">C4</f>
        <v>59700</v>
      </c>
      <c r="E4" s="16">
        <f t="shared" si="0"/>
        <v>59700</v>
      </c>
      <c r="F4" s="16">
        <f t="shared" si="0"/>
        <v>59700</v>
      </c>
      <c r="G4" s="16">
        <f t="shared" si="0"/>
        <v>59700</v>
      </c>
      <c r="H4" s="16">
        <f t="shared" si="0"/>
        <v>59700</v>
      </c>
    </row>
    <row r="5" spans="1:13" ht="15.75" customHeight="1" x14ac:dyDescent="0.2">
      <c r="A5" s="93"/>
      <c r="B5" s="3" t="s">
        <v>13</v>
      </c>
      <c r="C5" s="25">
        <v>23600</v>
      </c>
      <c r="D5" s="25">
        <v>14700</v>
      </c>
      <c r="E5" s="25">
        <v>9500</v>
      </c>
      <c r="F5" s="25">
        <v>7400</v>
      </c>
      <c r="G5" s="25">
        <v>4750</v>
      </c>
      <c r="H5" s="25">
        <v>3000</v>
      </c>
    </row>
    <row r="6" spans="1:13" ht="15.75" customHeight="1" x14ac:dyDescent="0.2">
      <c r="A6" s="93"/>
      <c r="B6" s="6" t="s">
        <v>14</v>
      </c>
      <c r="C6" s="7">
        <f t="shared" ref="C6:H6" si="1">(C4-C5)*2*0.95</f>
        <v>68590</v>
      </c>
      <c r="D6" s="7">
        <f t="shared" si="1"/>
        <v>85500</v>
      </c>
      <c r="E6" s="7">
        <f t="shared" si="1"/>
        <v>95380</v>
      </c>
      <c r="F6" s="7">
        <f t="shared" si="1"/>
        <v>99370</v>
      </c>
      <c r="G6" s="7">
        <f t="shared" si="1"/>
        <v>104405</v>
      </c>
      <c r="H6" s="7">
        <f t="shared" si="1"/>
        <v>107730</v>
      </c>
      <c r="I6" s="18"/>
      <c r="J6" s="18"/>
      <c r="K6" s="18"/>
      <c r="L6" s="18"/>
      <c r="M6" s="18"/>
    </row>
    <row r="7" spans="1:13" ht="15.75" customHeight="1" x14ac:dyDescent="0.2">
      <c r="A7" s="94"/>
      <c r="B7" s="6" t="s">
        <v>15</v>
      </c>
      <c r="C7" s="7">
        <f t="shared" ref="C7:H7" si="2">(C4-C5)</f>
        <v>36100</v>
      </c>
      <c r="D7" s="7">
        <f t="shared" si="2"/>
        <v>45000</v>
      </c>
      <c r="E7" s="7">
        <f t="shared" si="2"/>
        <v>50200</v>
      </c>
      <c r="F7" s="7">
        <f t="shared" si="2"/>
        <v>52300</v>
      </c>
      <c r="G7" s="7">
        <f t="shared" si="2"/>
        <v>54950</v>
      </c>
      <c r="H7" s="7">
        <f t="shared" si="2"/>
        <v>56700</v>
      </c>
    </row>
    <row r="8" spans="1:13" ht="15.75" customHeight="1" x14ac:dyDescent="0.2">
      <c r="A8" s="92" t="s">
        <v>16</v>
      </c>
      <c r="B8" s="3" t="s">
        <v>12</v>
      </c>
      <c r="C8" s="4">
        <v>60850</v>
      </c>
      <c r="D8" s="4">
        <f t="shared" ref="D8:H8" si="3">C8</f>
        <v>60850</v>
      </c>
      <c r="E8" s="4">
        <f t="shared" si="3"/>
        <v>60850</v>
      </c>
      <c r="F8" s="4">
        <f t="shared" si="3"/>
        <v>60850</v>
      </c>
      <c r="G8" s="4">
        <f t="shared" si="3"/>
        <v>60850</v>
      </c>
      <c r="H8" s="4">
        <f t="shared" si="3"/>
        <v>60850</v>
      </c>
    </row>
    <row r="9" spans="1:13" ht="15.75" customHeight="1" x14ac:dyDescent="0.2">
      <c r="A9" s="93"/>
      <c r="B9" s="3" t="s">
        <v>13</v>
      </c>
      <c r="C9" s="4">
        <f t="shared" ref="C9:H9" si="4">C5</f>
        <v>23600</v>
      </c>
      <c r="D9" s="4">
        <f t="shared" si="4"/>
        <v>14700</v>
      </c>
      <c r="E9" s="4">
        <f t="shared" si="4"/>
        <v>9500</v>
      </c>
      <c r="F9" s="4">
        <f t="shared" si="4"/>
        <v>7400</v>
      </c>
      <c r="G9" s="4">
        <f t="shared" si="4"/>
        <v>4750</v>
      </c>
      <c r="H9" s="4">
        <f t="shared" si="4"/>
        <v>3000</v>
      </c>
    </row>
    <row r="10" spans="1:13" ht="15.75" customHeight="1" x14ac:dyDescent="0.2">
      <c r="A10" s="93"/>
      <c r="B10" s="6" t="s">
        <v>14</v>
      </c>
      <c r="C10" s="7">
        <f t="shared" ref="C10:H10" si="5">(C8-C9)*2*0.95</f>
        <v>70775</v>
      </c>
      <c r="D10" s="7">
        <f t="shared" si="5"/>
        <v>87685</v>
      </c>
      <c r="E10" s="7">
        <f t="shared" si="5"/>
        <v>97565</v>
      </c>
      <c r="F10" s="7">
        <f t="shared" si="5"/>
        <v>101555</v>
      </c>
      <c r="G10" s="7">
        <f t="shared" si="5"/>
        <v>106590</v>
      </c>
      <c r="H10" s="7">
        <f t="shared" si="5"/>
        <v>109915</v>
      </c>
    </row>
    <row r="11" spans="1:13" ht="15.75" customHeight="1" x14ac:dyDescent="0.2">
      <c r="A11" s="94"/>
      <c r="B11" s="6" t="s">
        <v>15</v>
      </c>
      <c r="C11" s="7">
        <f t="shared" ref="C11:H11" si="6">(C8-C9)</f>
        <v>37250</v>
      </c>
      <c r="D11" s="7">
        <f t="shared" si="6"/>
        <v>46150</v>
      </c>
      <c r="E11" s="7">
        <f t="shared" si="6"/>
        <v>51350</v>
      </c>
      <c r="F11" s="7">
        <f t="shared" si="6"/>
        <v>53450</v>
      </c>
      <c r="G11" s="7">
        <f t="shared" si="6"/>
        <v>56100</v>
      </c>
      <c r="H11" s="7">
        <f t="shared" si="6"/>
        <v>57850</v>
      </c>
    </row>
    <row r="12" spans="1:13" ht="15.75" customHeight="1" x14ac:dyDescent="0.2">
      <c r="A12" s="92" t="s">
        <v>17</v>
      </c>
      <c r="B12" s="3" t="s">
        <v>12</v>
      </c>
      <c r="C12" s="4">
        <f>C8*1.05</f>
        <v>63892.5</v>
      </c>
      <c r="D12" s="4">
        <f t="shared" ref="D12:H12" si="7">C12</f>
        <v>63892.5</v>
      </c>
      <c r="E12" s="4">
        <f t="shared" si="7"/>
        <v>63892.5</v>
      </c>
      <c r="F12" s="4">
        <f t="shared" si="7"/>
        <v>63892.5</v>
      </c>
      <c r="G12" s="4">
        <f t="shared" si="7"/>
        <v>63892.5</v>
      </c>
      <c r="H12" s="4">
        <f t="shared" si="7"/>
        <v>63892.5</v>
      </c>
    </row>
    <row r="13" spans="1:13" ht="15.75" customHeight="1" x14ac:dyDescent="0.2">
      <c r="A13" s="93"/>
      <c r="B13" s="3" t="s">
        <v>13</v>
      </c>
      <c r="C13" s="4">
        <f t="shared" ref="C13:H13" si="8">C5</f>
        <v>23600</v>
      </c>
      <c r="D13" s="4">
        <f t="shared" si="8"/>
        <v>14700</v>
      </c>
      <c r="E13" s="4">
        <f t="shared" si="8"/>
        <v>9500</v>
      </c>
      <c r="F13" s="4">
        <f t="shared" si="8"/>
        <v>7400</v>
      </c>
      <c r="G13" s="4">
        <f t="shared" si="8"/>
        <v>4750</v>
      </c>
      <c r="H13" s="4">
        <f t="shared" si="8"/>
        <v>3000</v>
      </c>
    </row>
    <row r="14" spans="1:13" ht="15.75" customHeight="1" x14ac:dyDescent="0.2">
      <c r="A14" s="93"/>
      <c r="B14" s="6" t="s">
        <v>14</v>
      </c>
      <c r="C14" s="7">
        <f t="shared" ref="C14:H14" si="9">(C12-C13)*2*0.95</f>
        <v>76555.75</v>
      </c>
      <c r="D14" s="7">
        <f t="shared" si="9"/>
        <v>93465.75</v>
      </c>
      <c r="E14" s="7">
        <f t="shared" si="9"/>
        <v>103345.75</v>
      </c>
      <c r="F14" s="7">
        <f t="shared" si="9"/>
        <v>107335.75</v>
      </c>
      <c r="G14" s="7">
        <f t="shared" si="9"/>
        <v>112370.75</v>
      </c>
      <c r="H14" s="7">
        <f t="shared" si="9"/>
        <v>115695.75</v>
      </c>
    </row>
    <row r="15" spans="1:13" ht="15.75" customHeight="1" x14ac:dyDescent="0.2">
      <c r="A15" s="94"/>
      <c r="B15" s="6" t="s">
        <v>15</v>
      </c>
      <c r="C15" s="7">
        <f t="shared" ref="C15:H15" si="10">(C12-C13)</f>
        <v>40292.5</v>
      </c>
      <c r="D15" s="7">
        <f t="shared" si="10"/>
        <v>49192.5</v>
      </c>
      <c r="E15" s="7">
        <f t="shared" si="10"/>
        <v>54392.5</v>
      </c>
      <c r="F15" s="7">
        <f t="shared" si="10"/>
        <v>56492.5</v>
      </c>
      <c r="G15" s="7">
        <f t="shared" si="10"/>
        <v>59142.5</v>
      </c>
      <c r="H15" s="7">
        <f t="shared" si="10"/>
        <v>60892.5</v>
      </c>
    </row>
    <row r="16" spans="1:13" ht="15.75" customHeight="1" x14ac:dyDescent="0.2">
      <c r="A16" s="76" t="s">
        <v>19</v>
      </c>
      <c r="B16" s="75"/>
      <c r="C16" s="9">
        <f t="shared" ref="C16:H16" si="11">SUM(C6,C10,C14)</f>
        <v>215920.75</v>
      </c>
      <c r="D16" s="9">
        <f t="shared" si="11"/>
        <v>266650.75</v>
      </c>
      <c r="E16" s="9">
        <f t="shared" si="11"/>
        <v>296290.75</v>
      </c>
      <c r="F16" s="9">
        <f t="shared" si="11"/>
        <v>308260.75</v>
      </c>
      <c r="G16" s="9">
        <f t="shared" si="11"/>
        <v>323365.75</v>
      </c>
      <c r="H16" s="9">
        <f t="shared" si="11"/>
        <v>333340.75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115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" hidden="1" customHeight="1" x14ac:dyDescent="0.2">
      <c r="A20" s="26" t="s">
        <v>166</v>
      </c>
      <c r="B20" s="10">
        <v>4500</v>
      </c>
      <c r="C20" s="10">
        <v>2500</v>
      </c>
      <c r="D20" s="27">
        <v>1000</v>
      </c>
      <c r="E20" s="27">
        <v>750</v>
      </c>
      <c r="F20" s="79"/>
      <c r="G20" s="86"/>
      <c r="H20" s="80"/>
    </row>
    <row r="21" spans="1:8" ht="15.75" customHeight="1" x14ac:dyDescent="0.2">
      <c r="A21" s="89" t="s">
        <v>24</v>
      </c>
      <c r="B21" s="78"/>
      <c r="C21" s="76" t="s">
        <v>25</v>
      </c>
      <c r="D21" s="75"/>
      <c r="E21" s="3">
        <v>18500</v>
      </c>
      <c r="F21" s="79"/>
      <c r="G21" s="86"/>
      <c r="H21" s="80"/>
    </row>
    <row r="22" spans="1:8" ht="15.75" customHeight="1" x14ac:dyDescent="0.2">
      <c r="A22" s="81"/>
      <c r="B22" s="82"/>
      <c r="C22" s="76" t="s">
        <v>26</v>
      </c>
      <c r="D22" s="75"/>
      <c r="E22" s="3">
        <v>9750</v>
      </c>
      <c r="F22" s="81"/>
      <c r="G22" s="87"/>
      <c r="H22" s="82"/>
    </row>
    <row r="23" spans="1:8" ht="15.75" customHeight="1" x14ac:dyDescent="0.2">
      <c r="A23" s="73" t="s">
        <v>27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73" t="s">
        <v>28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29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>
      <c r="A26" s="95" t="s">
        <v>30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3:H23"/>
    <mergeCell ref="A24:H24"/>
    <mergeCell ref="A25:H25"/>
    <mergeCell ref="A26:H26"/>
    <mergeCell ref="C17:D17"/>
    <mergeCell ref="F17:H22"/>
    <mergeCell ref="C18:D18"/>
    <mergeCell ref="C19:D19"/>
    <mergeCell ref="A21:B22"/>
    <mergeCell ref="C21:D21"/>
    <mergeCell ref="C22:D22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90" t="s">
        <v>167</v>
      </c>
      <c r="B1" s="74"/>
      <c r="C1" s="74"/>
      <c r="D1" s="74"/>
      <c r="E1" s="74"/>
      <c r="F1" s="74"/>
      <c r="G1" s="74"/>
      <c r="H1" s="75"/>
    </row>
    <row r="2" spans="1:13" ht="42.75" customHeight="1" x14ac:dyDescent="0.2">
      <c r="A2" s="91" t="s">
        <v>168</v>
      </c>
      <c r="B2" s="74"/>
      <c r="C2" s="74"/>
      <c r="D2" s="74"/>
      <c r="E2" s="74"/>
      <c r="F2" s="74"/>
      <c r="G2" s="74"/>
      <c r="H2" s="75"/>
    </row>
    <row r="3" spans="1:13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165</v>
      </c>
    </row>
    <row r="4" spans="1:13" ht="15.75" customHeight="1" x14ac:dyDescent="0.2">
      <c r="A4" s="92" t="s">
        <v>11</v>
      </c>
      <c r="B4" s="3" t="s">
        <v>12</v>
      </c>
      <c r="C4" s="16">
        <v>59700</v>
      </c>
      <c r="D4" s="16">
        <f t="shared" ref="D4:H4" si="0">C4</f>
        <v>59700</v>
      </c>
      <c r="E4" s="16">
        <f t="shared" si="0"/>
        <v>59700</v>
      </c>
      <c r="F4" s="16">
        <f t="shared" si="0"/>
        <v>59700</v>
      </c>
      <c r="G4" s="16">
        <f t="shared" si="0"/>
        <v>59700</v>
      </c>
      <c r="H4" s="16">
        <f t="shared" si="0"/>
        <v>59700</v>
      </c>
    </row>
    <row r="5" spans="1:13" ht="15.75" customHeight="1" x14ac:dyDescent="0.2">
      <c r="A5" s="93"/>
      <c r="B5" s="3" t="s">
        <v>13</v>
      </c>
      <c r="C5" s="25">
        <v>23600</v>
      </c>
      <c r="D5" s="25">
        <v>14700</v>
      </c>
      <c r="E5" s="25">
        <v>9500</v>
      </c>
      <c r="F5" s="25">
        <v>7400</v>
      </c>
      <c r="G5" s="25">
        <v>4750</v>
      </c>
      <c r="H5" s="25">
        <v>3000</v>
      </c>
    </row>
    <row r="6" spans="1:13" ht="15.75" customHeight="1" x14ac:dyDescent="0.2">
      <c r="A6" s="93"/>
      <c r="B6" s="6" t="s">
        <v>14</v>
      </c>
      <c r="C6" s="7">
        <f t="shared" ref="C6:H6" si="1">(C4-C5)*2*0.95</f>
        <v>68590</v>
      </c>
      <c r="D6" s="7">
        <f t="shared" si="1"/>
        <v>85500</v>
      </c>
      <c r="E6" s="7">
        <f t="shared" si="1"/>
        <v>95380</v>
      </c>
      <c r="F6" s="7">
        <f t="shared" si="1"/>
        <v>99370</v>
      </c>
      <c r="G6" s="7">
        <f t="shared" si="1"/>
        <v>104405</v>
      </c>
      <c r="H6" s="7">
        <f t="shared" si="1"/>
        <v>107730</v>
      </c>
      <c r="I6" s="18"/>
      <c r="J6" s="18"/>
      <c r="K6" s="18"/>
      <c r="L6" s="18"/>
      <c r="M6" s="18"/>
    </row>
    <row r="7" spans="1:13" ht="15.75" customHeight="1" x14ac:dyDescent="0.2">
      <c r="A7" s="94"/>
      <c r="B7" s="6" t="s">
        <v>15</v>
      </c>
      <c r="C7" s="7">
        <f t="shared" ref="C7:H7" si="2">(C4-C5)</f>
        <v>36100</v>
      </c>
      <c r="D7" s="7">
        <f t="shared" si="2"/>
        <v>45000</v>
      </c>
      <c r="E7" s="7">
        <f t="shared" si="2"/>
        <v>50200</v>
      </c>
      <c r="F7" s="7">
        <f t="shared" si="2"/>
        <v>52300</v>
      </c>
      <c r="G7" s="7">
        <f t="shared" si="2"/>
        <v>54950</v>
      </c>
      <c r="H7" s="7">
        <f t="shared" si="2"/>
        <v>56700</v>
      </c>
    </row>
    <row r="8" spans="1:13" ht="15.75" customHeight="1" x14ac:dyDescent="0.2">
      <c r="A8" s="92" t="s">
        <v>16</v>
      </c>
      <c r="B8" s="3" t="s">
        <v>12</v>
      </c>
      <c r="C8" s="4">
        <v>60850</v>
      </c>
      <c r="D8" s="4">
        <f t="shared" ref="D8:H8" si="3">C8</f>
        <v>60850</v>
      </c>
      <c r="E8" s="4">
        <f t="shared" si="3"/>
        <v>60850</v>
      </c>
      <c r="F8" s="4">
        <f t="shared" si="3"/>
        <v>60850</v>
      </c>
      <c r="G8" s="4">
        <f t="shared" si="3"/>
        <v>60850</v>
      </c>
      <c r="H8" s="4">
        <f t="shared" si="3"/>
        <v>60850</v>
      </c>
    </row>
    <row r="9" spans="1:13" ht="15.75" customHeight="1" x14ac:dyDescent="0.2">
      <c r="A9" s="93"/>
      <c r="B9" s="3" t="s">
        <v>13</v>
      </c>
      <c r="C9" s="4">
        <f t="shared" ref="C9:H9" si="4">C5</f>
        <v>23600</v>
      </c>
      <c r="D9" s="4">
        <f t="shared" si="4"/>
        <v>14700</v>
      </c>
      <c r="E9" s="4">
        <f t="shared" si="4"/>
        <v>9500</v>
      </c>
      <c r="F9" s="4">
        <f t="shared" si="4"/>
        <v>7400</v>
      </c>
      <c r="G9" s="4">
        <f t="shared" si="4"/>
        <v>4750</v>
      </c>
      <c r="H9" s="4">
        <f t="shared" si="4"/>
        <v>3000</v>
      </c>
    </row>
    <row r="10" spans="1:13" ht="15.75" customHeight="1" x14ac:dyDescent="0.2">
      <c r="A10" s="93"/>
      <c r="B10" s="6" t="s">
        <v>14</v>
      </c>
      <c r="C10" s="7">
        <f t="shared" ref="C10:H10" si="5">(C8-C9)*2*0.95</f>
        <v>70775</v>
      </c>
      <c r="D10" s="7">
        <f t="shared" si="5"/>
        <v>87685</v>
      </c>
      <c r="E10" s="7">
        <f t="shared" si="5"/>
        <v>97565</v>
      </c>
      <c r="F10" s="7">
        <f t="shared" si="5"/>
        <v>101555</v>
      </c>
      <c r="G10" s="7">
        <f t="shared" si="5"/>
        <v>106590</v>
      </c>
      <c r="H10" s="7">
        <f t="shared" si="5"/>
        <v>109915</v>
      </c>
    </row>
    <row r="11" spans="1:13" ht="15.75" customHeight="1" x14ac:dyDescent="0.2">
      <c r="A11" s="94"/>
      <c r="B11" s="6" t="s">
        <v>15</v>
      </c>
      <c r="C11" s="7">
        <f t="shared" ref="C11:H11" si="6">(C8-C9)</f>
        <v>37250</v>
      </c>
      <c r="D11" s="7">
        <f t="shared" si="6"/>
        <v>46150</v>
      </c>
      <c r="E11" s="7">
        <f t="shared" si="6"/>
        <v>51350</v>
      </c>
      <c r="F11" s="7">
        <f t="shared" si="6"/>
        <v>53450</v>
      </c>
      <c r="G11" s="7">
        <f t="shared" si="6"/>
        <v>56100</v>
      </c>
      <c r="H11" s="7">
        <f t="shared" si="6"/>
        <v>57850</v>
      </c>
    </row>
    <row r="12" spans="1:13" ht="15.75" customHeight="1" x14ac:dyDescent="0.2">
      <c r="A12" s="92" t="s">
        <v>17</v>
      </c>
      <c r="B12" s="3" t="s">
        <v>12</v>
      </c>
      <c r="C12" s="4">
        <f>C8*1.05</f>
        <v>63892.5</v>
      </c>
      <c r="D12" s="4">
        <f t="shared" ref="D12:H12" si="7">C12</f>
        <v>63892.5</v>
      </c>
      <c r="E12" s="4">
        <f t="shared" si="7"/>
        <v>63892.5</v>
      </c>
      <c r="F12" s="4">
        <f t="shared" si="7"/>
        <v>63892.5</v>
      </c>
      <c r="G12" s="4">
        <f t="shared" si="7"/>
        <v>63892.5</v>
      </c>
      <c r="H12" s="4">
        <f t="shared" si="7"/>
        <v>63892.5</v>
      </c>
    </row>
    <row r="13" spans="1:13" ht="15.75" customHeight="1" x14ac:dyDescent="0.2">
      <c r="A13" s="93"/>
      <c r="B13" s="3" t="s">
        <v>13</v>
      </c>
      <c r="C13" s="4">
        <f t="shared" ref="C13:H13" si="8">C5</f>
        <v>23600</v>
      </c>
      <c r="D13" s="4">
        <f t="shared" si="8"/>
        <v>14700</v>
      </c>
      <c r="E13" s="4">
        <f t="shared" si="8"/>
        <v>9500</v>
      </c>
      <c r="F13" s="4">
        <f t="shared" si="8"/>
        <v>7400</v>
      </c>
      <c r="G13" s="4">
        <f t="shared" si="8"/>
        <v>4750</v>
      </c>
      <c r="H13" s="4">
        <f t="shared" si="8"/>
        <v>3000</v>
      </c>
    </row>
    <row r="14" spans="1:13" ht="15.75" customHeight="1" x14ac:dyDescent="0.2">
      <c r="A14" s="93"/>
      <c r="B14" s="6" t="s">
        <v>14</v>
      </c>
      <c r="C14" s="7">
        <f t="shared" ref="C14:H14" si="9">(C12-C13)*2*0.95</f>
        <v>76555.75</v>
      </c>
      <c r="D14" s="7">
        <f t="shared" si="9"/>
        <v>93465.75</v>
      </c>
      <c r="E14" s="7">
        <f t="shared" si="9"/>
        <v>103345.75</v>
      </c>
      <c r="F14" s="7">
        <f t="shared" si="9"/>
        <v>107335.75</v>
      </c>
      <c r="G14" s="7">
        <f t="shared" si="9"/>
        <v>112370.75</v>
      </c>
      <c r="H14" s="7">
        <f t="shared" si="9"/>
        <v>115695.75</v>
      </c>
    </row>
    <row r="15" spans="1:13" ht="15.75" customHeight="1" x14ac:dyDescent="0.2">
      <c r="A15" s="94"/>
      <c r="B15" s="6" t="s">
        <v>15</v>
      </c>
      <c r="C15" s="7">
        <f t="shared" ref="C15:H15" si="10">(C12-C13)</f>
        <v>40292.5</v>
      </c>
      <c r="D15" s="7">
        <f t="shared" si="10"/>
        <v>49192.5</v>
      </c>
      <c r="E15" s="7">
        <f t="shared" si="10"/>
        <v>54392.5</v>
      </c>
      <c r="F15" s="7">
        <f t="shared" si="10"/>
        <v>56492.5</v>
      </c>
      <c r="G15" s="7">
        <f t="shared" si="10"/>
        <v>59142.5</v>
      </c>
      <c r="H15" s="7">
        <f t="shared" si="10"/>
        <v>60892.5</v>
      </c>
    </row>
    <row r="16" spans="1:13" ht="15.75" customHeight="1" x14ac:dyDescent="0.2">
      <c r="A16" s="92" t="s">
        <v>97</v>
      </c>
      <c r="B16" s="3" t="s">
        <v>12</v>
      </c>
      <c r="C16" s="4">
        <f>C12*1.05</f>
        <v>67087.125</v>
      </c>
      <c r="D16" s="4">
        <f t="shared" ref="D16:H16" si="11">C16</f>
        <v>67087.125</v>
      </c>
      <c r="E16" s="4">
        <f t="shared" si="11"/>
        <v>67087.125</v>
      </c>
      <c r="F16" s="4">
        <f t="shared" si="11"/>
        <v>67087.125</v>
      </c>
      <c r="G16" s="4">
        <f t="shared" si="11"/>
        <v>67087.125</v>
      </c>
      <c r="H16" s="4">
        <f t="shared" si="11"/>
        <v>67087.125</v>
      </c>
    </row>
    <row r="17" spans="1:8" ht="15.75" customHeight="1" x14ac:dyDescent="0.2">
      <c r="A17" s="93"/>
      <c r="B17" s="3" t="s">
        <v>13</v>
      </c>
      <c r="C17" s="4">
        <f t="shared" ref="C17:H17" si="12">C9</f>
        <v>23600</v>
      </c>
      <c r="D17" s="4">
        <f t="shared" si="12"/>
        <v>14700</v>
      </c>
      <c r="E17" s="4">
        <f t="shared" si="12"/>
        <v>9500</v>
      </c>
      <c r="F17" s="4">
        <f t="shared" si="12"/>
        <v>7400</v>
      </c>
      <c r="G17" s="4">
        <f t="shared" si="12"/>
        <v>4750</v>
      </c>
      <c r="H17" s="4">
        <f t="shared" si="12"/>
        <v>3000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82625.537499999991</v>
      </c>
      <c r="D18" s="7">
        <f t="shared" si="13"/>
        <v>99535.537499999991</v>
      </c>
      <c r="E18" s="7">
        <f t="shared" si="13"/>
        <v>109415.53749999999</v>
      </c>
      <c r="F18" s="7">
        <f t="shared" si="13"/>
        <v>113405.53749999999</v>
      </c>
      <c r="G18" s="7">
        <f t="shared" si="13"/>
        <v>118440.53749999999</v>
      </c>
      <c r="H18" s="7">
        <f t="shared" si="13"/>
        <v>121765.53749999999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43487.125</v>
      </c>
      <c r="D19" s="7">
        <f t="shared" si="14"/>
        <v>52387.125</v>
      </c>
      <c r="E19" s="7">
        <f t="shared" si="14"/>
        <v>57587.125</v>
      </c>
      <c r="F19" s="7">
        <f t="shared" si="14"/>
        <v>59687.125</v>
      </c>
      <c r="G19" s="7">
        <f t="shared" si="14"/>
        <v>62337.125</v>
      </c>
      <c r="H19" s="7">
        <f t="shared" si="14"/>
        <v>64087.125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298546.28749999998</v>
      </c>
      <c r="D20" s="9">
        <f t="shared" si="15"/>
        <v>366186.28749999998</v>
      </c>
      <c r="E20" s="9">
        <f t="shared" si="15"/>
        <v>405706.28749999998</v>
      </c>
      <c r="F20" s="9">
        <f t="shared" si="15"/>
        <v>421666.28749999998</v>
      </c>
      <c r="G20" s="9">
        <f t="shared" si="15"/>
        <v>441806.28749999998</v>
      </c>
      <c r="H20" s="9">
        <f t="shared" si="15"/>
        <v>455106.28749999998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115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" hidden="1" customHeight="1" x14ac:dyDescent="0.2">
      <c r="A24" s="26" t="s">
        <v>166</v>
      </c>
      <c r="B24" s="10">
        <v>4500</v>
      </c>
      <c r="C24" s="10">
        <v>2500</v>
      </c>
      <c r="D24" s="27">
        <v>1000</v>
      </c>
      <c r="E24" s="27">
        <v>750</v>
      </c>
      <c r="F24" s="79"/>
      <c r="G24" s="86"/>
      <c r="H24" s="80"/>
    </row>
    <row r="25" spans="1:8" ht="15.75" customHeight="1" x14ac:dyDescent="0.2">
      <c r="A25" s="89" t="s">
        <v>24</v>
      </c>
      <c r="B25" s="78"/>
      <c r="C25" s="76" t="s">
        <v>25</v>
      </c>
      <c r="D25" s="75"/>
      <c r="E25" s="3">
        <v>18500</v>
      </c>
      <c r="F25" s="79"/>
      <c r="G25" s="86"/>
      <c r="H25" s="80"/>
    </row>
    <row r="26" spans="1:8" ht="15.75" customHeight="1" x14ac:dyDescent="0.2">
      <c r="A26" s="81"/>
      <c r="B26" s="82"/>
      <c r="C26" s="76" t="s">
        <v>26</v>
      </c>
      <c r="D26" s="75"/>
      <c r="E26" s="3">
        <v>9750</v>
      </c>
      <c r="F26" s="81"/>
      <c r="G26" s="87"/>
      <c r="H26" s="82"/>
    </row>
    <row r="27" spans="1:8" ht="15.75" customHeight="1" x14ac:dyDescent="0.2">
      <c r="A27" s="73" t="s">
        <v>27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73" t="s">
        <v>28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29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>
      <c r="A30" s="95" t="s">
        <v>30</v>
      </c>
      <c r="B30" s="74"/>
      <c r="C30" s="74"/>
      <c r="D30" s="74"/>
      <c r="E30" s="74"/>
      <c r="F30" s="74"/>
      <c r="G30" s="74"/>
      <c r="H30" s="75"/>
    </row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6:D26"/>
    <mergeCell ref="A27:H27"/>
    <mergeCell ref="A28:H28"/>
    <mergeCell ref="A29:H29"/>
    <mergeCell ref="A30:H30"/>
    <mergeCell ref="A21:B23"/>
    <mergeCell ref="C21:D21"/>
    <mergeCell ref="F21:H26"/>
    <mergeCell ref="C22:D22"/>
    <mergeCell ref="C23:D23"/>
    <mergeCell ref="A25:B26"/>
    <mergeCell ref="C25:D25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000"/>
  <sheetViews>
    <sheetView workbookViewId="0"/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90" t="s">
        <v>169</v>
      </c>
      <c r="B1" s="74"/>
      <c r="C1" s="74"/>
      <c r="D1" s="74"/>
      <c r="E1" s="74"/>
      <c r="F1" s="74"/>
      <c r="G1" s="74"/>
      <c r="H1" s="75"/>
    </row>
    <row r="2" spans="1:8" ht="36.75" customHeight="1" x14ac:dyDescent="0.2">
      <c r="A2" s="91" t="s">
        <v>170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165</v>
      </c>
    </row>
    <row r="4" spans="1:8" ht="15.75" customHeight="1" x14ac:dyDescent="0.2">
      <c r="A4" s="92" t="s">
        <v>11</v>
      </c>
      <c r="B4" s="3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8" ht="15.75" customHeight="1" x14ac:dyDescent="0.2">
      <c r="A5" s="93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8" ht="15.75" customHeight="1" x14ac:dyDescent="0.2">
      <c r="A7" s="94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8" ht="15.75" customHeight="1" x14ac:dyDescent="0.2">
      <c r="A8" s="92" t="s">
        <v>16</v>
      </c>
      <c r="B8" s="3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4">
        <f t="shared" si="3"/>
        <v>75550</v>
      </c>
      <c r="H8" s="4">
        <f t="shared" si="3"/>
        <v>75550</v>
      </c>
    </row>
    <row r="9" spans="1:8" ht="15.75" customHeight="1" x14ac:dyDescent="0.2">
      <c r="A9" s="93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4">
        <f t="shared" si="4"/>
        <v>7500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4">
        <f t="shared" si="7"/>
        <v>79327.5</v>
      </c>
      <c r="H12" s="4">
        <f t="shared" si="7"/>
        <v>79327.5</v>
      </c>
    </row>
    <row r="13" spans="1:8" ht="15.75" customHeight="1" x14ac:dyDescent="0.2">
      <c r="A13" s="93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4">
        <f t="shared" si="8"/>
        <v>7500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254747.25</v>
      </c>
      <c r="D16" s="9">
        <f t="shared" si="11"/>
        <v>286097.25</v>
      </c>
      <c r="E16" s="9">
        <f t="shared" si="11"/>
        <v>343097.25</v>
      </c>
      <c r="F16" s="19">
        <f t="shared" si="11"/>
        <v>374447.25</v>
      </c>
      <c r="G16" s="19">
        <f t="shared" si="11"/>
        <v>391547.25</v>
      </c>
      <c r="H16" s="19">
        <f t="shared" si="11"/>
        <v>434297.25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20">
        <v>10000</v>
      </c>
      <c r="F17" s="116"/>
      <c r="G17" s="86"/>
      <c r="H17" s="86"/>
    </row>
    <row r="18" spans="1:8" ht="15.75" customHeight="1" x14ac:dyDescent="0.2">
      <c r="A18" s="79"/>
      <c r="B18" s="80"/>
      <c r="C18" s="83" t="s">
        <v>22</v>
      </c>
      <c r="D18" s="75"/>
      <c r="E18" s="20">
        <v>5000</v>
      </c>
      <c r="F18" s="86"/>
      <c r="G18" s="86"/>
      <c r="H18" s="86"/>
    </row>
    <row r="19" spans="1:8" ht="15.75" customHeight="1" x14ac:dyDescent="0.2">
      <c r="A19" s="81"/>
      <c r="B19" s="82"/>
      <c r="C19" s="88" t="s">
        <v>23</v>
      </c>
      <c r="D19" s="75"/>
      <c r="E19" s="20">
        <v>3000</v>
      </c>
      <c r="F19" s="86"/>
      <c r="G19" s="86"/>
      <c r="H19" s="86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22">
        <v>18500</v>
      </c>
      <c r="F20" s="86"/>
      <c r="G20" s="86"/>
      <c r="H20" s="86"/>
    </row>
    <row r="21" spans="1:8" ht="15.75" customHeight="1" x14ac:dyDescent="0.2">
      <c r="A21" s="81"/>
      <c r="B21" s="82"/>
      <c r="C21" s="76" t="s">
        <v>26</v>
      </c>
      <c r="D21" s="75"/>
      <c r="E21" s="22">
        <v>9750</v>
      </c>
      <c r="F21" s="86"/>
      <c r="G21" s="86"/>
      <c r="H21" s="86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90" t="s">
        <v>171</v>
      </c>
      <c r="B1" s="74"/>
      <c r="C1" s="74"/>
      <c r="D1" s="74"/>
      <c r="E1" s="74"/>
      <c r="F1" s="74"/>
      <c r="G1" s="74"/>
      <c r="H1" s="75"/>
    </row>
    <row r="2" spans="1:8" ht="40.5" customHeight="1" x14ac:dyDescent="0.2">
      <c r="A2" s="91" t="s">
        <v>172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70700</v>
      </c>
      <c r="D4" s="16">
        <f t="shared" ref="D4:H4" si="0">C4</f>
        <v>70700</v>
      </c>
      <c r="E4" s="16">
        <f t="shared" si="0"/>
        <v>70700</v>
      </c>
      <c r="F4" s="16">
        <f t="shared" si="0"/>
        <v>70700</v>
      </c>
      <c r="G4" s="16">
        <f t="shared" si="0"/>
        <v>70700</v>
      </c>
      <c r="H4" s="16">
        <f t="shared" si="0"/>
        <v>70700</v>
      </c>
    </row>
    <row r="5" spans="1:8" ht="15.75" customHeight="1" x14ac:dyDescent="0.2">
      <c r="A5" s="93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94430</v>
      </c>
      <c r="D6" s="7">
        <f t="shared" si="1"/>
        <v>104880</v>
      </c>
      <c r="E6" s="7">
        <f t="shared" si="1"/>
        <v>109630</v>
      </c>
      <c r="F6" s="7">
        <f t="shared" si="1"/>
        <v>114380</v>
      </c>
      <c r="G6" s="7">
        <f t="shared" si="1"/>
        <v>120080</v>
      </c>
      <c r="H6" s="7">
        <f t="shared" si="1"/>
        <v>124830</v>
      </c>
    </row>
    <row r="7" spans="1:8" ht="15.75" customHeight="1" x14ac:dyDescent="0.2">
      <c r="A7" s="94"/>
      <c r="B7" s="6" t="s">
        <v>15</v>
      </c>
      <c r="C7" s="7">
        <f t="shared" ref="C7:H7" si="2">(C4-C5)</f>
        <v>49700</v>
      </c>
      <c r="D7" s="7">
        <f t="shared" si="2"/>
        <v>55200</v>
      </c>
      <c r="E7" s="7">
        <f t="shared" si="2"/>
        <v>57700</v>
      </c>
      <c r="F7" s="7">
        <f t="shared" si="2"/>
        <v>60200</v>
      </c>
      <c r="G7" s="7">
        <f t="shared" si="2"/>
        <v>63200</v>
      </c>
      <c r="H7" s="7">
        <f t="shared" si="2"/>
        <v>65700</v>
      </c>
    </row>
    <row r="8" spans="1:8" ht="15.75" customHeight="1" x14ac:dyDescent="0.2">
      <c r="A8" s="92" t="s">
        <v>16</v>
      </c>
      <c r="B8" s="3" t="s">
        <v>12</v>
      </c>
      <c r="C8" s="4">
        <v>72400</v>
      </c>
      <c r="D8" s="4">
        <f t="shared" ref="D8:H8" si="3">C8</f>
        <v>72400</v>
      </c>
      <c r="E8" s="4">
        <f t="shared" si="3"/>
        <v>72400</v>
      </c>
      <c r="F8" s="4">
        <f t="shared" si="3"/>
        <v>72400</v>
      </c>
      <c r="G8" s="4">
        <f t="shared" si="3"/>
        <v>72400</v>
      </c>
      <c r="H8" s="4">
        <f t="shared" si="3"/>
        <v>72400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97660</v>
      </c>
      <c r="D10" s="7">
        <f t="shared" si="5"/>
        <v>108110</v>
      </c>
      <c r="E10" s="7">
        <f t="shared" si="5"/>
        <v>112860</v>
      </c>
      <c r="F10" s="7">
        <f t="shared" si="5"/>
        <v>117610</v>
      </c>
      <c r="G10" s="7">
        <f t="shared" si="5"/>
        <v>123310</v>
      </c>
      <c r="H10" s="7">
        <f t="shared" si="5"/>
        <v>128060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51400</v>
      </c>
      <c r="D11" s="7">
        <f t="shared" si="6"/>
        <v>56900</v>
      </c>
      <c r="E11" s="7">
        <f t="shared" si="6"/>
        <v>59400</v>
      </c>
      <c r="F11" s="7">
        <f t="shared" si="6"/>
        <v>61900</v>
      </c>
      <c r="G11" s="7">
        <f t="shared" si="6"/>
        <v>64900</v>
      </c>
      <c r="H11" s="7">
        <f t="shared" si="6"/>
        <v>67400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76020</v>
      </c>
      <c r="D12" s="4">
        <f t="shared" ref="D12:H12" si="7">C12</f>
        <v>76020</v>
      </c>
      <c r="E12" s="4">
        <f t="shared" si="7"/>
        <v>76020</v>
      </c>
      <c r="F12" s="4">
        <f t="shared" si="7"/>
        <v>76020</v>
      </c>
      <c r="G12" s="4">
        <f t="shared" si="7"/>
        <v>76020</v>
      </c>
      <c r="H12" s="4">
        <f t="shared" si="7"/>
        <v>76020</v>
      </c>
    </row>
    <row r="13" spans="1:8" ht="15.75" customHeight="1" x14ac:dyDescent="0.2">
      <c r="A13" s="93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104538</v>
      </c>
      <c r="D14" s="7">
        <f t="shared" si="9"/>
        <v>114988</v>
      </c>
      <c r="E14" s="7">
        <f t="shared" si="9"/>
        <v>119738</v>
      </c>
      <c r="F14" s="7">
        <f t="shared" si="9"/>
        <v>124488</v>
      </c>
      <c r="G14" s="7">
        <f t="shared" si="9"/>
        <v>130188</v>
      </c>
      <c r="H14" s="7">
        <f t="shared" si="9"/>
        <v>134938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55020</v>
      </c>
      <c r="D15" s="7">
        <f t="shared" si="10"/>
        <v>60520</v>
      </c>
      <c r="E15" s="7">
        <f t="shared" si="10"/>
        <v>63020</v>
      </c>
      <c r="F15" s="7">
        <f t="shared" si="10"/>
        <v>65520</v>
      </c>
      <c r="G15" s="7">
        <f t="shared" si="10"/>
        <v>68520</v>
      </c>
      <c r="H15" s="7">
        <f t="shared" si="10"/>
        <v>71020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296628</v>
      </c>
      <c r="D16" s="9">
        <f t="shared" si="11"/>
        <v>327978</v>
      </c>
      <c r="E16" s="9">
        <f t="shared" si="11"/>
        <v>342228</v>
      </c>
      <c r="F16" s="19">
        <f t="shared" si="11"/>
        <v>356478</v>
      </c>
      <c r="G16" s="19">
        <f t="shared" si="11"/>
        <v>373578</v>
      </c>
      <c r="H16" s="19">
        <f t="shared" si="11"/>
        <v>387828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20">
        <v>10000</v>
      </c>
      <c r="F17" s="116"/>
      <c r="G17" s="86"/>
      <c r="H17" s="86"/>
    </row>
    <row r="18" spans="1:8" ht="15.75" customHeight="1" x14ac:dyDescent="0.2">
      <c r="A18" s="79"/>
      <c r="B18" s="80"/>
      <c r="C18" s="83" t="s">
        <v>22</v>
      </c>
      <c r="D18" s="75"/>
      <c r="E18" s="20">
        <v>5000</v>
      </c>
      <c r="F18" s="86"/>
      <c r="G18" s="86"/>
      <c r="H18" s="86"/>
    </row>
    <row r="19" spans="1:8" ht="15.75" customHeight="1" x14ac:dyDescent="0.2">
      <c r="A19" s="81"/>
      <c r="B19" s="82"/>
      <c r="C19" s="88" t="s">
        <v>23</v>
      </c>
      <c r="D19" s="75"/>
      <c r="E19" s="20">
        <v>3000</v>
      </c>
      <c r="F19" s="86"/>
      <c r="G19" s="86"/>
      <c r="H19" s="86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22">
        <v>18500</v>
      </c>
      <c r="F20" s="86"/>
      <c r="G20" s="86"/>
      <c r="H20" s="86"/>
    </row>
    <row r="21" spans="1:8" ht="15.75" customHeight="1" x14ac:dyDescent="0.2">
      <c r="A21" s="81"/>
      <c r="B21" s="82"/>
      <c r="C21" s="76" t="s">
        <v>26</v>
      </c>
      <c r="D21" s="75"/>
      <c r="E21" s="22">
        <v>9750</v>
      </c>
      <c r="F21" s="86"/>
      <c r="G21" s="86"/>
      <c r="H21" s="86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117" t="s">
        <v>173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29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>
      <c r="A26" s="95" t="s">
        <v>30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000"/>
  <sheetViews>
    <sheetView topLeftCell="A9" workbookViewId="0">
      <selection activeCell="A28" sqref="A28:H28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26" width="11.1640625" customWidth="1"/>
  </cols>
  <sheetData>
    <row r="1" spans="1:8" ht="15.75" customHeight="1" x14ac:dyDescent="0.2">
      <c r="A1" s="90" t="s">
        <v>174</v>
      </c>
      <c r="B1" s="74"/>
      <c r="C1" s="74"/>
      <c r="D1" s="74"/>
      <c r="E1" s="74"/>
      <c r="F1" s="74"/>
      <c r="G1" s="74"/>
      <c r="H1" s="75"/>
    </row>
    <row r="2" spans="1:8" ht="40.5" customHeight="1" x14ac:dyDescent="0.2">
      <c r="A2" s="91" t="s">
        <v>175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74000</v>
      </c>
      <c r="D4" s="16">
        <f t="shared" ref="D4:H4" si="0">C4</f>
        <v>74000</v>
      </c>
      <c r="E4" s="16">
        <f t="shared" si="0"/>
        <v>74000</v>
      </c>
      <c r="F4" s="16">
        <f t="shared" si="0"/>
        <v>74000</v>
      </c>
      <c r="G4" s="16">
        <f t="shared" si="0"/>
        <v>74000</v>
      </c>
      <c r="H4" s="16">
        <f t="shared" si="0"/>
        <v>74000</v>
      </c>
    </row>
    <row r="5" spans="1:8" ht="15.75" customHeight="1" x14ac:dyDescent="0.2">
      <c r="A5" s="93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100700</v>
      </c>
      <c r="D6" s="7">
        <f t="shared" si="1"/>
        <v>111150</v>
      </c>
      <c r="E6" s="7">
        <f t="shared" si="1"/>
        <v>115900</v>
      </c>
      <c r="F6" s="7">
        <f t="shared" si="1"/>
        <v>120650</v>
      </c>
      <c r="G6" s="7">
        <f t="shared" si="1"/>
        <v>126350</v>
      </c>
      <c r="H6" s="7">
        <f t="shared" si="1"/>
        <v>131100</v>
      </c>
    </row>
    <row r="7" spans="1:8" ht="15.75" customHeight="1" x14ac:dyDescent="0.2">
      <c r="A7" s="94"/>
      <c r="B7" s="6" t="s">
        <v>15</v>
      </c>
      <c r="C7" s="7">
        <f t="shared" ref="C7:H7" si="2">(C4-C5)</f>
        <v>53000</v>
      </c>
      <c r="D7" s="7">
        <f t="shared" si="2"/>
        <v>58500</v>
      </c>
      <c r="E7" s="7">
        <f t="shared" si="2"/>
        <v>61000</v>
      </c>
      <c r="F7" s="7">
        <f t="shared" si="2"/>
        <v>63500</v>
      </c>
      <c r="G7" s="7">
        <f t="shared" si="2"/>
        <v>66500</v>
      </c>
      <c r="H7" s="7">
        <f t="shared" si="2"/>
        <v>69000</v>
      </c>
    </row>
    <row r="8" spans="1:8" ht="15.75" customHeight="1" x14ac:dyDescent="0.2">
      <c r="A8" s="92" t="s">
        <v>16</v>
      </c>
      <c r="B8" s="3" t="s">
        <v>12</v>
      </c>
      <c r="C8" s="4">
        <v>76000</v>
      </c>
      <c r="D8" s="4">
        <f t="shared" ref="D8:H8" si="3">C8</f>
        <v>76000</v>
      </c>
      <c r="E8" s="4">
        <f t="shared" si="3"/>
        <v>76000</v>
      </c>
      <c r="F8" s="4">
        <f t="shared" si="3"/>
        <v>76000</v>
      </c>
      <c r="G8" s="4">
        <f t="shared" si="3"/>
        <v>76000</v>
      </c>
      <c r="H8" s="4">
        <f t="shared" si="3"/>
        <v>76000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104500</v>
      </c>
      <c r="D10" s="7">
        <f t="shared" si="5"/>
        <v>114950</v>
      </c>
      <c r="E10" s="7">
        <f t="shared" si="5"/>
        <v>119700</v>
      </c>
      <c r="F10" s="7">
        <f t="shared" si="5"/>
        <v>124450</v>
      </c>
      <c r="G10" s="7">
        <f t="shared" si="5"/>
        <v>130150</v>
      </c>
      <c r="H10" s="7">
        <f t="shared" si="5"/>
        <v>134900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55000</v>
      </c>
      <c r="D11" s="7">
        <f t="shared" si="6"/>
        <v>60500</v>
      </c>
      <c r="E11" s="7">
        <f t="shared" si="6"/>
        <v>63000</v>
      </c>
      <c r="F11" s="7">
        <f t="shared" si="6"/>
        <v>65500</v>
      </c>
      <c r="G11" s="7">
        <f t="shared" si="6"/>
        <v>68500</v>
      </c>
      <c r="H11" s="7">
        <f t="shared" si="6"/>
        <v>71000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79800</v>
      </c>
      <c r="D12" s="4">
        <f t="shared" ref="D12:H12" si="7">C12</f>
        <v>79800</v>
      </c>
      <c r="E12" s="4">
        <f t="shared" si="7"/>
        <v>79800</v>
      </c>
      <c r="F12" s="4">
        <f t="shared" si="7"/>
        <v>79800</v>
      </c>
      <c r="G12" s="4">
        <f t="shared" si="7"/>
        <v>79800</v>
      </c>
      <c r="H12" s="4">
        <f t="shared" si="7"/>
        <v>79800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111720</v>
      </c>
      <c r="D14" s="7">
        <f t="shared" si="9"/>
        <v>122170</v>
      </c>
      <c r="E14" s="7">
        <f t="shared" si="9"/>
        <v>126920</v>
      </c>
      <c r="F14" s="7">
        <f t="shared" si="9"/>
        <v>131670</v>
      </c>
      <c r="G14" s="7">
        <f t="shared" si="9"/>
        <v>137370</v>
      </c>
      <c r="H14" s="7">
        <f t="shared" si="9"/>
        <v>142120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58800</v>
      </c>
      <c r="D15" s="7">
        <f t="shared" si="10"/>
        <v>64300</v>
      </c>
      <c r="E15" s="7">
        <f t="shared" si="10"/>
        <v>66800</v>
      </c>
      <c r="F15" s="7">
        <f t="shared" si="10"/>
        <v>69300</v>
      </c>
      <c r="G15" s="7">
        <f t="shared" si="10"/>
        <v>72300</v>
      </c>
      <c r="H15" s="7">
        <f t="shared" si="10"/>
        <v>74800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83790</v>
      </c>
      <c r="D16" s="4">
        <f t="shared" ref="D16:H16" si="11">C16</f>
        <v>83790</v>
      </c>
      <c r="E16" s="4">
        <f t="shared" si="11"/>
        <v>83790</v>
      </c>
      <c r="F16" s="4">
        <f t="shared" si="11"/>
        <v>83790</v>
      </c>
      <c r="G16" s="4">
        <f t="shared" si="11"/>
        <v>83790</v>
      </c>
      <c r="H16" s="4">
        <f t="shared" si="11"/>
        <v>83790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15500</v>
      </c>
      <c r="E17" s="4">
        <f t="shared" si="12"/>
        <v>13000</v>
      </c>
      <c r="F17" s="4">
        <f t="shared" si="12"/>
        <v>10500</v>
      </c>
      <c r="G17" s="4">
        <f t="shared" si="12"/>
        <v>7500</v>
      </c>
      <c r="H17" s="4">
        <f t="shared" si="12"/>
        <v>5000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119301</v>
      </c>
      <c r="D18" s="7">
        <f t="shared" si="13"/>
        <v>129751</v>
      </c>
      <c r="E18" s="7">
        <f t="shared" si="13"/>
        <v>134501</v>
      </c>
      <c r="F18" s="7">
        <f t="shared" si="13"/>
        <v>139251</v>
      </c>
      <c r="G18" s="7">
        <f t="shared" si="13"/>
        <v>144951</v>
      </c>
      <c r="H18" s="7">
        <f t="shared" si="13"/>
        <v>149701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62790</v>
      </c>
      <c r="D19" s="7">
        <f t="shared" si="14"/>
        <v>68290</v>
      </c>
      <c r="E19" s="7">
        <f t="shared" si="14"/>
        <v>70790</v>
      </c>
      <c r="F19" s="7">
        <f t="shared" si="14"/>
        <v>73290</v>
      </c>
      <c r="G19" s="7">
        <f t="shared" si="14"/>
        <v>76290</v>
      </c>
      <c r="H19" s="7">
        <f t="shared" si="14"/>
        <v>78790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436221</v>
      </c>
      <c r="D20" s="9">
        <f t="shared" si="15"/>
        <v>478021</v>
      </c>
      <c r="E20" s="9">
        <f t="shared" si="15"/>
        <v>497021</v>
      </c>
      <c r="F20" s="9">
        <f t="shared" si="15"/>
        <v>516021</v>
      </c>
      <c r="G20" s="9">
        <f t="shared" si="15"/>
        <v>538821</v>
      </c>
      <c r="H20" s="9">
        <f t="shared" si="15"/>
        <v>557821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2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2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2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22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22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117" t="s">
        <v>173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29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>
      <c r="A30" s="95" t="s">
        <v>30</v>
      </c>
      <c r="B30" s="74"/>
      <c r="C30" s="74"/>
      <c r="D30" s="74"/>
      <c r="E30" s="74"/>
      <c r="F30" s="74"/>
      <c r="G30" s="74"/>
      <c r="H30" s="75"/>
    </row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30:H30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26" width="11.1640625" customWidth="1"/>
  </cols>
  <sheetData>
    <row r="1" spans="1:8" ht="15.75" customHeight="1" x14ac:dyDescent="0.2">
      <c r="A1" s="90" t="s">
        <v>176</v>
      </c>
      <c r="B1" s="74"/>
      <c r="C1" s="74"/>
      <c r="D1" s="74"/>
      <c r="E1" s="74"/>
      <c r="F1" s="74"/>
      <c r="G1" s="74"/>
      <c r="H1" s="75"/>
    </row>
    <row r="2" spans="1:8" ht="40.5" customHeight="1" x14ac:dyDescent="0.2">
      <c r="A2" s="91" t="s">
        <v>177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74000</v>
      </c>
      <c r="D4" s="16">
        <f t="shared" ref="D4:H4" si="0">C4</f>
        <v>74000</v>
      </c>
      <c r="E4" s="16">
        <f t="shared" si="0"/>
        <v>74000</v>
      </c>
      <c r="F4" s="16">
        <f t="shared" si="0"/>
        <v>74000</v>
      </c>
      <c r="G4" s="16">
        <f t="shared" si="0"/>
        <v>74000</v>
      </c>
      <c r="H4" s="16">
        <f t="shared" si="0"/>
        <v>74000</v>
      </c>
    </row>
    <row r="5" spans="1:8" ht="15.75" customHeight="1" x14ac:dyDescent="0.2">
      <c r="A5" s="93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100700</v>
      </c>
      <c r="D6" s="7">
        <f t="shared" si="1"/>
        <v>111150</v>
      </c>
      <c r="E6" s="7">
        <f t="shared" si="1"/>
        <v>115900</v>
      </c>
      <c r="F6" s="7">
        <f t="shared" si="1"/>
        <v>120650</v>
      </c>
      <c r="G6" s="7">
        <f t="shared" si="1"/>
        <v>126350</v>
      </c>
      <c r="H6" s="7">
        <f t="shared" si="1"/>
        <v>131100</v>
      </c>
    </row>
    <row r="7" spans="1:8" ht="15.75" customHeight="1" x14ac:dyDescent="0.2">
      <c r="A7" s="94"/>
      <c r="B7" s="6" t="s">
        <v>15</v>
      </c>
      <c r="C7" s="7">
        <f t="shared" ref="C7:H7" si="2">(C4-C5)</f>
        <v>53000</v>
      </c>
      <c r="D7" s="7">
        <f t="shared" si="2"/>
        <v>58500</v>
      </c>
      <c r="E7" s="7">
        <f t="shared" si="2"/>
        <v>61000</v>
      </c>
      <c r="F7" s="7">
        <f t="shared" si="2"/>
        <v>63500</v>
      </c>
      <c r="G7" s="7">
        <f t="shared" si="2"/>
        <v>66500</v>
      </c>
      <c r="H7" s="7">
        <f t="shared" si="2"/>
        <v>69000</v>
      </c>
    </row>
    <row r="8" spans="1:8" ht="15.75" customHeight="1" x14ac:dyDescent="0.2">
      <c r="A8" s="92" t="s">
        <v>16</v>
      </c>
      <c r="B8" s="3" t="s">
        <v>12</v>
      </c>
      <c r="C8" s="4">
        <v>76000</v>
      </c>
      <c r="D8" s="4">
        <f t="shared" ref="D8:H8" si="3">C8</f>
        <v>76000</v>
      </c>
      <c r="E8" s="4">
        <f t="shared" si="3"/>
        <v>76000</v>
      </c>
      <c r="F8" s="4">
        <f t="shared" si="3"/>
        <v>76000</v>
      </c>
      <c r="G8" s="4">
        <f t="shared" si="3"/>
        <v>76000</v>
      </c>
      <c r="H8" s="4">
        <f t="shared" si="3"/>
        <v>76000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104500</v>
      </c>
      <c r="D10" s="7">
        <f t="shared" si="5"/>
        <v>114950</v>
      </c>
      <c r="E10" s="7">
        <f t="shared" si="5"/>
        <v>119700</v>
      </c>
      <c r="F10" s="7">
        <f t="shared" si="5"/>
        <v>124450</v>
      </c>
      <c r="G10" s="7">
        <f t="shared" si="5"/>
        <v>130150</v>
      </c>
      <c r="H10" s="7">
        <f t="shared" si="5"/>
        <v>134900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55000</v>
      </c>
      <c r="D11" s="7">
        <f t="shared" si="6"/>
        <v>60500</v>
      </c>
      <c r="E11" s="7">
        <f t="shared" si="6"/>
        <v>63000</v>
      </c>
      <c r="F11" s="7">
        <f t="shared" si="6"/>
        <v>65500</v>
      </c>
      <c r="G11" s="7">
        <f t="shared" si="6"/>
        <v>68500</v>
      </c>
      <c r="H11" s="7">
        <f t="shared" si="6"/>
        <v>71000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79800</v>
      </c>
      <c r="D12" s="4">
        <f t="shared" ref="D12:H12" si="7">C12</f>
        <v>79800</v>
      </c>
      <c r="E12" s="4">
        <f t="shared" si="7"/>
        <v>79800</v>
      </c>
      <c r="F12" s="4">
        <f t="shared" si="7"/>
        <v>79800</v>
      </c>
      <c r="G12" s="4">
        <f t="shared" si="7"/>
        <v>79800</v>
      </c>
      <c r="H12" s="4">
        <f t="shared" si="7"/>
        <v>79800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111720</v>
      </c>
      <c r="D14" s="7">
        <f t="shared" si="9"/>
        <v>122170</v>
      </c>
      <c r="E14" s="7">
        <f t="shared" si="9"/>
        <v>126920</v>
      </c>
      <c r="F14" s="7">
        <f t="shared" si="9"/>
        <v>131670</v>
      </c>
      <c r="G14" s="7">
        <f t="shared" si="9"/>
        <v>137370</v>
      </c>
      <c r="H14" s="7">
        <f t="shared" si="9"/>
        <v>142120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58800</v>
      </c>
      <c r="D15" s="7">
        <f t="shared" si="10"/>
        <v>64300</v>
      </c>
      <c r="E15" s="7">
        <f t="shared" si="10"/>
        <v>66800</v>
      </c>
      <c r="F15" s="7">
        <f t="shared" si="10"/>
        <v>69300</v>
      </c>
      <c r="G15" s="7">
        <f t="shared" si="10"/>
        <v>72300</v>
      </c>
      <c r="H15" s="7">
        <f t="shared" si="10"/>
        <v>74800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316920</v>
      </c>
      <c r="D16" s="9">
        <f t="shared" si="11"/>
        <v>348270</v>
      </c>
      <c r="E16" s="9">
        <f t="shared" si="11"/>
        <v>362520</v>
      </c>
      <c r="F16" s="9">
        <f t="shared" si="11"/>
        <v>376770</v>
      </c>
      <c r="G16" s="9">
        <f t="shared" si="11"/>
        <v>393870</v>
      </c>
      <c r="H16" s="9">
        <f t="shared" si="11"/>
        <v>408120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20">
        <v>10000</v>
      </c>
      <c r="F17" s="116"/>
      <c r="G17" s="86"/>
      <c r="H17" s="86"/>
    </row>
    <row r="18" spans="1:8" ht="15.75" customHeight="1" x14ac:dyDescent="0.2">
      <c r="A18" s="79"/>
      <c r="B18" s="80"/>
      <c r="C18" s="83" t="s">
        <v>22</v>
      </c>
      <c r="D18" s="75"/>
      <c r="E18" s="20">
        <v>5000</v>
      </c>
      <c r="F18" s="86"/>
      <c r="G18" s="86"/>
      <c r="H18" s="86"/>
    </row>
    <row r="19" spans="1:8" ht="15.75" customHeight="1" x14ac:dyDescent="0.2">
      <c r="A19" s="81"/>
      <c r="B19" s="82"/>
      <c r="C19" s="88" t="s">
        <v>23</v>
      </c>
      <c r="D19" s="75"/>
      <c r="E19" s="20">
        <v>3000</v>
      </c>
      <c r="F19" s="86"/>
      <c r="G19" s="86"/>
      <c r="H19" s="86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22">
        <v>18500</v>
      </c>
      <c r="F20" s="86"/>
      <c r="G20" s="86"/>
      <c r="H20" s="86"/>
    </row>
    <row r="21" spans="1:8" ht="15.75" customHeight="1" x14ac:dyDescent="0.2">
      <c r="A21" s="81"/>
      <c r="B21" s="82"/>
      <c r="C21" s="76" t="s">
        <v>26</v>
      </c>
      <c r="D21" s="75"/>
      <c r="E21" s="22">
        <v>9750</v>
      </c>
      <c r="F21" s="86"/>
      <c r="G21" s="86"/>
      <c r="H21" s="86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117" t="s">
        <v>173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29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>
      <c r="A26" s="95" t="s">
        <v>30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90" t="s">
        <v>178</v>
      </c>
      <c r="B1" s="74"/>
      <c r="C1" s="74"/>
      <c r="D1" s="74"/>
      <c r="E1" s="74"/>
      <c r="F1" s="74"/>
      <c r="G1" s="74"/>
      <c r="H1" s="75"/>
    </row>
    <row r="2" spans="1:8" ht="46.5" customHeight="1" x14ac:dyDescent="0.2">
      <c r="A2" s="91" t="s">
        <v>179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92" t="s">
        <v>16</v>
      </c>
      <c r="B8" s="3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  <c r="H8" s="4">
        <f t="shared" si="3"/>
        <v>67150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4">
        <f t="shared" si="7"/>
        <v>70507.5</v>
      </c>
      <c r="H12" s="4">
        <f t="shared" si="7"/>
        <v>70507.5</v>
      </c>
    </row>
    <row r="13" spans="1:8" ht="15.75" customHeight="1" x14ac:dyDescent="0.2">
      <c r="A13" s="93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266679.25</v>
      </c>
      <c r="D16" s="9">
        <f t="shared" si="11"/>
        <v>298029.25</v>
      </c>
      <c r="E16" s="9">
        <f t="shared" si="11"/>
        <v>312279.25</v>
      </c>
      <c r="F16" s="9">
        <f t="shared" si="11"/>
        <v>326529.25</v>
      </c>
      <c r="G16" s="9">
        <f t="shared" si="11"/>
        <v>343629.25</v>
      </c>
      <c r="H16" s="9">
        <f t="shared" si="11"/>
        <v>357879.25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117" t="s">
        <v>173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29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>
      <c r="A26" s="95" t="s">
        <v>30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000"/>
  <sheetViews>
    <sheetView workbookViewId="0">
      <selection activeCell="A22" sqref="A22:H22"/>
    </sheetView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113" t="s">
        <v>180</v>
      </c>
      <c r="B1" s="86"/>
      <c r="C1" s="86"/>
      <c r="D1" s="86"/>
      <c r="E1" s="86"/>
      <c r="F1" s="86"/>
      <c r="G1" s="86"/>
      <c r="H1" s="86"/>
    </row>
    <row r="2" spans="1:8" ht="33.75" customHeight="1" x14ac:dyDescent="0.2">
      <c r="A2" s="138" t="s">
        <v>181</v>
      </c>
      <c r="B2" s="121"/>
      <c r="C2" s="121"/>
      <c r="D2" s="121"/>
      <c r="E2" s="121"/>
      <c r="F2" s="121"/>
      <c r="G2" s="121"/>
      <c r="H2" s="121"/>
    </row>
    <row r="3" spans="1:8" ht="15.75" customHeight="1" x14ac:dyDescent="0.2">
      <c r="A3" s="29" t="s">
        <v>2</v>
      </c>
      <c r="B3" s="29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139" t="s">
        <v>11</v>
      </c>
      <c r="B4" s="30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80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80"/>
      <c r="B6" s="31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140"/>
      <c r="B7" s="31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139" t="s">
        <v>16</v>
      </c>
      <c r="B8" s="30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32">
        <f t="shared" si="3"/>
        <v>67150</v>
      </c>
      <c r="H8" s="32">
        <f t="shared" si="3"/>
        <v>67150</v>
      </c>
    </row>
    <row r="9" spans="1:8" ht="15.75" customHeight="1" x14ac:dyDescent="0.2">
      <c r="A9" s="80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32">
        <f t="shared" si="4"/>
        <v>7500</v>
      </c>
      <c r="H9" s="32">
        <f t="shared" si="4"/>
        <v>5000</v>
      </c>
    </row>
    <row r="10" spans="1:8" ht="15.75" customHeight="1" x14ac:dyDescent="0.2">
      <c r="A10" s="80"/>
      <c r="B10" s="31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82"/>
      <c r="B11" s="31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139" t="s">
        <v>17</v>
      </c>
      <c r="B12" s="30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32">
        <f t="shared" si="7"/>
        <v>70507.5</v>
      </c>
      <c r="H12" s="32">
        <f t="shared" si="7"/>
        <v>70507.5</v>
      </c>
    </row>
    <row r="13" spans="1:8" ht="15.75" customHeight="1" x14ac:dyDescent="0.2">
      <c r="A13" s="80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32">
        <f t="shared" si="8"/>
        <v>7500</v>
      </c>
      <c r="H13" s="32">
        <f t="shared" si="8"/>
        <v>5000</v>
      </c>
    </row>
    <row r="14" spans="1:8" ht="15.75" customHeight="1" x14ac:dyDescent="0.2">
      <c r="A14" s="80"/>
      <c r="B14" s="31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82"/>
      <c r="B15" s="31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124" t="s">
        <v>19</v>
      </c>
      <c r="B16" s="125"/>
      <c r="C16" s="33">
        <f t="shared" ref="C16:H16" si="11">SUM(C6,C10,C14)</f>
        <v>266679.25</v>
      </c>
      <c r="D16" s="33">
        <f t="shared" si="11"/>
        <v>298029.25</v>
      </c>
      <c r="E16" s="33">
        <f t="shared" si="11"/>
        <v>312279.25</v>
      </c>
      <c r="F16" s="33">
        <f t="shared" si="11"/>
        <v>326529.25</v>
      </c>
      <c r="G16" s="33">
        <f t="shared" si="11"/>
        <v>343629.25</v>
      </c>
      <c r="H16" s="33">
        <f t="shared" si="11"/>
        <v>357879.25</v>
      </c>
    </row>
    <row r="17" spans="1:8" ht="15.75" customHeight="1" x14ac:dyDescent="0.2">
      <c r="A17" s="126" t="s">
        <v>20</v>
      </c>
      <c r="B17" s="127"/>
      <c r="C17" s="118" t="s">
        <v>21</v>
      </c>
      <c r="D17" s="82"/>
      <c r="E17" s="34">
        <v>10000</v>
      </c>
      <c r="F17" s="119"/>
      <c r="G17" s="120"/>
      <c r="H17" s="120"/>
    </row>
    <row r="18" spans="1:8" ht="15.75" customHeight="1" x14ac:dyDescent="0.2">
      <c r="A18" s="128"/>
      <c r="B18" s="129"/>
      <c r="C18" s="122" t="s">
        <v>22</v>
      </c>
      <c r="D18" s="75"/>
      <c r="E18" s="35">
        <v>5000</v>
      </c>
      <c r="F18" s="86"/>
      <c r="G18" s="86"/>
      <c r="H18" s="86"/>
    </row>
    <row r="19" spans="1:8" ht="15.75" customHeight="1" x14ac:dyDescent="0.2">
      <c r="A19" s="130"/>
      <c r="B19" s="131"/>
      <c r="C19" s="123" t="s">
        <v>23</v>
      </c>
      <c r="D19" s="78"/>
      <c r="E19" s="36">
        <v>3000</v>
      </c>
      <c r="F19" s="86"/>
      <c r="G19" s="86"/>
      <c r="H19" s="86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86"/>
      <c r="G20" s="86"/>
      <c r="H20" s="86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121"/>
      <c r="G21" s="121"/>
      <c r="H21" s="121"/>
    </row>
    <row r="22" spans="1:8" ht="15.75" customHeight="1" x14ac:dyDescent="0.2">
      <c r="A22" s="132" t="s">
        <v>182</v>
      </c>
      <c r="B22" s="133"/>
      <c r="C22" s="133"/>
      <c r="D22" s="133"/>
      <c r="E22" s="133"/>
      <c r="F22" s="133"/>
      <c r="G22" s="133"/>
      <c r="H22" s="134"/>
    </row>
    <row r="23" spans="1:8" ht="15.75" customHeight="1" x14ac:dyDescent="0.2">
      <c r="A23" s="135" t="s">
        <v>27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136" t="s">
        <v>28</v>
      </c>
      <c r="B24" s="125"/>
      <c r="C24" s="125"/>
      <c r="D24" s="125"/>
      <c r="E24" s="125"/>
      <c r="F24" s="125"/>
      <c r="G24" s="125"/>
      <c r="H24" s="137"/>
    </row>
    <row r="25" spans="1:8" ht="15.75" customHeight="1" x14ac:dyDescent="0.2">
      <c r="A25" s="117" t="s">
        <v>173</v>
      </c>
      <c r="B25" s="74"/>
      <c r="C25" s="74"/>
      <c r="D25" s="74"/>
      <c r="E25" s="74"/>
      <c r="F25" s="74"/>
      <c r="G25" s="74"/>
      <c r="H25" s="74"/>
    </row>
    <row r="26" spans="1:8" ht="15.75" customHeight="1" x14ac:dyDescent="0.2">
      <c r="A26" s="95" t="s">
        <v>29</v>
      </c>
      <c r="B26" s="74"/>
      <c r="C26" s="74"/>
      <c r="D26" s="74"/>
      <c r="E26" s="74"/>
      <c r="F26" s="74"/>
      <c r="G26" s="74"/>
      <c r="H26" s="74"/>
    </row>
    <row r="27" spans="1:8" ht="15.75" customHeight="1" x14ac:dyDescent="0.2">
      <c r="A27" s="95" t="s">
        <v>30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A27:H27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90" t="s">
        <v>183</v>
      </c>
      <c r="B1" s="74"/>
      <c r="C1" s="74"/>
      <c r="D1" s="74"/>
      <c r="E1" s="74"/>
      <c r="F1" s="74"/>
      <c r="G1" s="74"/>
      <c r="H1" s="75"/>
    </row>
    <row r="2" spans="1:8" ht="43.5" customHeight="1" x14ac:dyDescent="0.2">
      <c r="A2" s="91" t="s">
        <v>184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55800</v>
      </c>
      <c r="D4" s="16">
        <f t="shared" ref="D4:H4" si="0">C4</f>
        <v>55800</v>
      </c>
      <c r="E4" s="16">
        <f t="shared" si="0"/>
        <v>55800</v>
      </c>
      <c r="F4" s="16">
        <f t="shared" si="0"/>
        <v>55800</v>
      </c>
      <c r="G4" s="16">
        <f t="shared" si="0"/>
        <v>55800</v>
      </c>
      <c r="H4" s="16">
        <f t="shared" si="0"/>
        <v>55800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66120</v>
      </c>
      <c r="D6" s="7">
        <f t="shared" si="1"/>
        <v>82080</v>
      </c>
      <c r="E6" s="7">
        <f t="shared" si="1"/>
        <v>90060</v>
      </c>
      <c r="F6" s="7">
        <f t="shared" si="1"/>
        <v>94050</v>
      </c>
      <c r="G6" s="7">
        <f t="shared" si="1"/>
        <v>98040</v>
      </c>
      <c r="H6" s="7">
        <f t="shared" si="1"/>
        <v>106020</v>
      </c>
    </row>
    <row r="7" spans="1:8" ht="15.75" customHeight="1" x14ac:dyDescent="0.2">
      <c r="A7" s="94"/>
      <c r="B7" s="6" t="s">
        <v>15</v>
      </c>
      <c r="C7" s="7">
        <f t="shared" ref="C7:H7" si="2">(C4-C5)</f>
        <v>34800</v>
      </c>
      <c r="D7" s="7">
        <f t="shared" si="2"/>
        <v>43200</v>
      </c>
      <c r="E7" s="7">
        <f t="shared" si="2"/>
        <v>47400</v>
      </c>
      <c r="F7" s="7">
        <f t="shared" si="2"/>
        <v>49500</v>
      </c>
      <c r="G7" s="7">
        <f t="shared" si="2"/>
        <v>51600</v>
      </c>
      <c r="H7" s="7">
        <f t="shared" si="2"/>
        <v>55800</v>
      </c>
    </row>
    <row r="8" spans="1:8" ht="15.75" customHeight="1" x14ac:dyDescent="0.2">
      <c r="A8" s="92" t="s">
        <v>16</v>
      </c>
      <c r="B8" s="3" t="s">
        <v>12</v>
      </c>
      <c r="C8" s="4">
        <v>56600</v>
      </c>
      <c r="D8" s="4">
        <f t="shared" ref="D8:H8" si="3">C8</f>
        <v>56600</v>
      </c>
      <c r="E8" s="4">
        <f t="shared" si="3"/>
        <v>56600</v>
      </c>
      <c r="F8" s="4">
        <f t="shared" si="3"/>
        <v>56600</v>
      </c>
      <c r="G8" s="4">
        <f t="shared" si="3"/>
        <v>56600</v>
      </c>
      <c r="H8" s="4">
        <f t="shared" si="3"/>
        <v>56600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67640</v>
      </c>
      <c r="D10" s="7">
        <f t="shared" si="5"/>
        <v>83600</v>
      </c>
      <c r="E10" s="7">
        <f t="shared" si="5"/>
        <v>91580</v>
      </c>
      <c r="F10" s="7">
        <f t="shared" si="5"/>
        <v>95570</v>
      </c>
      <c r="G10" s="7">
        <f t="shared" si="5"/>
        <v>99560</v>
      </c>
      <c r="H10" s="7">
        <f t="shared" si="5"/>
        <v>107540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35600</v>
      </c>
      <c r="D11" s="7">
        <f t="shared" si="6"/>
        <v>44000</v>
      </c>
      <c r="E11" s="7">
        <f t="shared" si="6"/>
        <v>48200</v>
      </c>
      <c r="F11" s="7">
        <f t="shared" si="6"/>
        <v>50300</v>
      </c>
      <c r="G11" s="7">
        <f t="shared" si="6"/>
        <v>52400</v>
      </c>
      <c r="H11" s="7">
        <f t="shared" si="6"/>
        <v>56600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59430</v>
      </c>
      <c r="D12" s="4">
        <f t="shared" ref="D12:H12" si="7">C12</f>
        <v>59430</v>
      </c>
      <c r="E12" s="4">
        <f t="shared" si="7"/>
        <v>59430</v>
      </c>
      <c r="F12" s="4">
        <f t="shared" si="7"/>
        <v>59430</v>
      </c>
      <c r="G12" s="4">
        <f t="shared" si="7"/>
        <v>59430</v>
      </c>
      <c r="H12" s="4">
        <f t="shared" si="7"/>
        <v>59430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73017</v>
      </c>
      <c r="D14" s="7">
        <f t="shared" si="9"/>
        <v>88977</v>
      </c>
      <c r="E14" s="7">
        <f t="shared" si="9"/>
        <v>96957</v>
      </c>
      <c r="F14" s="7">
        <f t="shared" si="9"/>
        <v>100947</v>
      </c>
      <c r="G14" s="7">
        <f t="shared" si="9"/>
        <v>104937</v>
      </c>
      <c r="H14" s="7">
        <f t="shared" si="9"/>
        <v>112917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38430</v>
      </c>
      <c r="D15" s="7">
        <f t="shared" si="10"/>
        <v>46830</v>
      </c>
      <c r="E15" s="7">
        <f t="shared" si="10"/>
        <v>51030</v>
      </c>
      <c r="F15" s="7">
        <f t="shared" si="10"/>
        <v>53130</v>
      </c>
      <c r="G15" s="7">
        <f t="shared" si="10"/>
        <v>55230</v>
      </c>
      <c r="H15" s="7">
        <f t="shared" si="10"/>
        <v>59430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206777</v>
      </c>
      <c r="D16" s="9">
        <f t="shared" si="11"/>
        <v>254657</v>
      </c>
      <c r="E16" s="9">
        <f t="shared" si="11"/>
        <v>278597</v>
      </c>
      <c r="F16" s="9">
        <f t="shared" si="11"/>
        <v>290567</v>
      </c>
      <c r="G16" s="9">
        <f t="shared" si="11"/>
        <v>302537</v>
      </c>
      <c r="H16" s="9">
        <f t="shared" si="11"/>
        <v>326477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2" width="8.6640625" customWidth="1"/>
    <col min="13" max="26" width="11.1640625" customWidth="1"/>
  </cols>
  <sheetData>
    <row r="1" spans="1:12" ht="15.75" customHeight="1" x14ac:dyDescent="0.2">
      <c r="A1" s="90" t="s">
        <v>185</v>
      </c>
      <c r="B1" s="74"/>
      <c r="C1" s="74"/>
      <c r="D1" s="74"/>
      <c r="E1" s="74"/>
      <c r="F1" s="74"/>
      <c r="G1" s="74"/>
      <c r="H1" s="75"/>
    </row>
    <row r="2" spans="1:12" ht="58.5" customHeight="1" x14ac:dyDescent="0.2">
      <c r="A2" s="91" t="s">
        <v>186</v>
      </c>
      <c r="B2" s="74"/>
      <c r="C2" s="74"/>
      <c r="D2" s="74"/>
      <c r="E2" s="74"/>
      <c r="F2" s="74"/>
      <c r="G2" s="74"/>
      <c r="H2" s="75"/>
    </row>
    <row r="3" spans="1:12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12" ht="15.75" customHeight="1" x14ac:dyDescent="0.2">
      <c r="A4" s="92" t="s">
        <v>11</v>
      </c>
      <c r="B4" s="3" t="s">
        <v>12</v>
      </c>
      <c r="C4" s="16">
        <v>55800</v>
      </c>
      <c r="D4" s="16">
        <f t="shared" ref="D4:H4" si="0">C4</f>
        <v>55800</v>
      </c>
      <c r="E4" s="16">
        <f t="shared" si="0"/>
        <v>55800</v>
      </c>
      <c r="F4" s="16">
        <f t="shared" si="0"/>
        <v>55800</v>
      </c>
      <c r="G4" s="16">
        <f t="shared" si="0"/>
        <v>55800</v>
      </c>
      <c r="H4" s="16">
        <f t="shared" si="0"/>
        <v>55800</v>
      </c>
    </row>
    <row r="5" spans="1:12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  <c r="I5" s="18"/>
      <c r="J5" s="18"/>
      <c r="K5" s="18"/>
      <c r="L5" s="18"/>
    </row>
    <row r="6" spans="1:12" ht="15.75" customHeight="1" x14ac:dyDescent="0.2">
      <c r="A6" s="93"/>
      <c r="B6" s="6" t="s">
        <v>14</v>
      </c>
      <c r="C6" s="7">
        <f t="shared" ref="C6:H6" si="1">(C4-C5)*2*0.95</f>
        <v>66120</v>
      </c>
      <c r="D6" s="7">
        <f t="shared" si="1"/>
        <v>82080</v>
      </c>
      <c r="E6" s="7">
        <f t="shared" si="1"/>
        <v>90060</v>
      </c>
      <c r="F6" s="7">
        <f t="shared" si="1"/>
        <v>94050</v>
      </c>
      <c r="G6" s="7">
        <f t="shared" si="1"/>
        <v>98040</v>
      </c>
      <c r="H6" s="7">
        <f t="shared" si="1"/>
        <v>106020</v>
      </c>
    </row>
    <row r="7" spans="1:12" ht="15.75" customHeight="1" x14ac:dyDescent="0.2">
      <c r="A7" s="94"/>
      <c r="B7" s="6" t="s">
        <v>15</v>
      </c>
      <c r="C7" s="7">
        <f t="shared" ref="C7:H7" si="2">(C4-C5)</f>
        <v>34800</v>
      </c>
      <c r="D7" s="7">
        <f t="shared" si="2"/>
        <v>43200</v>
      </c>
      <c r="E7" s="7">
        <f t="shared" si="2"/>
        <v>47400</v>
      </c>
      <c r="F7" s="7">
        <f t="shared" si="2"/>
        <v>49500</v>
      </c>
      <c r="G7" s="7">
        <f t="shared" si="2"/>
        <v>51600</v>
      </c>
      <c r="H7" s="7">
        <f t="shared" si="2"/>
        <v>55800</v>
      </c>
    </row>
    <row r="8" spans="1:12" ht="15.75" customHeight="1" x14ac:dyDescent="0.2">
      <c r="A8" s="92" t="s">
        <v>16</v>
      </c>
      <c r="B8" s="3" t="s">
        <v>12</v>
      </c>
      <c r="C8" s="4">
        <v>56600</v>
      </c>
      <c r="D8" s="4">
        <f t="shared" ref="D8:H8" si="3">C8</f>
        <v>56600</v>
      </c>
      <c r="E8" s="4">
        <f t="shared" si="3"/>
        <v>56600</v>
      </c>
      <c r="F8" s="4">
        <f t="shared" si="3"/>
        <v>56600</v>
      </c>
      <c r="G8" s="4">
        <f t="shared" si="3"/>
        <v>56600</v>
      </c>
      <c r="H8" s="4">
        <f t="shared" si="3"/>
        <v>56600</v>
      </c>
    </row>
    <row r="9" spans="1:12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12" ht="15.75" customHeight="1" x14ac:dyDescent="0.2">
      <c r="A10" s="93"/>
      <c r="B10" s="6" t="s">
        <v>14</v>
      </c>
      <c r="C10" s="7">
        <f t="shared" ref="C10:H10" si="5">(C8-C9)*2*0.95</f>
        <v>67640</v>
      </c>
      <c r="D10" s="7">
        <f t="shared" si="5"/>
        <v>83600</v>
      </c>
      <c r="E10" s="7">
        <f t="shared" si="5"/>
        <v>91580</v>
      </c>
      <c r="F10" s="7">
        <f t="shared" si="5"/>
        <v>95570</v>
      </c>
      <c r="G10" s="7">
        <f t="shared" si="5"/>
        <v>99560</v>
      </c>
      <c r="H10" s="7">
        <f t="shared" si="5"/>
        <v>107540</v>
      </c>
    </row>
    <row r="11" spans="1:12" ht="15.75" customHeight="1" x14ac:dyDescent="0.2">
      <c r="A11" s="94"/>
      <c r="B11" s="6" t="s">
        <v>15</v>
      </c>
      <c r="C11" s="7">
        <f t="shared" ref="C11:H11" si="6">(C8-C9)</f>
        <v>35600</v>
      </c>
      <c r="D11" s="7">
        <f t="shared" si="6"/>
        <v>44000</v>
      </c>
      <c r="E11" s="7">
        <f t="shared" si="6"/>
        <v>48200</v>
      </c>
      <c r="F11" s="7">
        <f t="shared" si="6"/>
        <v>50300</v>
      </c>
      <c r="G11" s="7">
        <f t="shared" si="6"/>
        <v>52400</v>
      </c>
      <c r="H11" s="7">
        <f t="shared" si="6"/>
        <v>56600</v>
      </c>
    </row>
    <row r="12" spans="1:12" ht="15.75" customHeight="1" x14ac:dyDescent="0.2">
      <c r="A12" s="92" t="s">
        <v>17</v>
      </c>
      <c r="B12" s="3" t="s">
        <v>12</v>
      </c>
      <c r="C12" s="4">
        <f>C8*1.05</f>
        <v>59430</v>
      </c>
      <c r="D12" s="4">
        <f t="shared" ref="D12:H12" si="7">C12</f>
        <v>59430</v>
      </c>
      <c r="E12" s="4">
        <f t="shared" si="7"/>
        <v>59430</v>
      </c>
      <c r="F12" s="4">
        <f t="shared" si="7"/>
        <v>59430</v>
      </c>
      <c r="G12" s="4">
        <f t="shared" si="7"/>
        <v>59430</v>
      </c>
      <c r="H12" s="4">
        <f t="shared" si="7"/>
        <v>59430</v>
      </c>
    </row>
    <row r="13" spans="1:12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12" ht="15.75" customHeight="1" x14ac:dyDescent="0.2">
      <c r="A14" s="93"/>
      <c r="B14" s="6" t="s">
        <v>14</v>
      </c>
      <c r="C14" s="7">
        <f t="shared" ref="C14:H14" si="9">(C12-C13)*2*0.95</f>
        <v>73017</v>
      </c>
      <c r="D14" s="7">
        <f t="shared" si="9"/>
        <v>88977</v>
      </c>
      <c r="E14" s="7">
        <f t="shared" si="9"/>
        <v>96957</v>
      </c>
      <c r="F14" s="7">
        <f t="shared" si="9"/>
        <v>100947</v>
      </c>
      <c r="G14" s="7">
        <f t="shared" si="9"/>
        <v>104937</v>
      </c>
      <c r="H14" s="7">
        <f t="shared" si="9"/>
        <v>112917</v>
      </c>
    </row>
    <row r="15" spans="1:12" ht="15.75" customHeight="1" x14ac:dyDescent="0.2">
      <c r="A15" s="94"/>
      <c r="B15" s="6" t="s">
        <v>15</v>
      </c>
      <c r="C15" s="7">
        <f t="shared" ref="C15:H15" si="10">(C12-C13)</f>
        <v>38430</v>
      </c>
      <c r="D15" s="7">
        <f t="shared" si="10"/>
        <v>46830</v>
      </c>
      <c r="E15" s="7">
        <f t="shared" si="10"/>
        <v>51030</v>
      </c>
      <c r="F15" s="7">
        <f t="shared" si="10"/>
        <v>53130</v>
      </c>
      <c r="G15" s="7">
        <f t="shared" si="10"/>
        <v>55230</v>
      </c>
      <c r="H15" s="7">
        <f t="shared" si="10"/>
        <v>59430</v>
      </c>
    </row>
    <row r="16" spans="1:12" ht="15.75" customHeight="1" x14ac:dyDescent="0.2">
      <c r="A16" s="92" t="s">
        <v>97</v>
      </c>
      <c r="B16" s="3" t="s">
        <v>12</v>
      </c>
      <c r="C16" s="4">
        <f>C12*1.05</f>
        <v>62401.5</v>
      </c>
      <c r="D16" s="4">
        <f t="shared" ref="D16:H16" si="11">C16</f>
        <v>62401.5</v>
      </c>
      <c r="E16" s="4">
        <f t="shared" si="11"/>
        <v>62401.5</v>
      </c>
      <c r="F16" s="4">
        <f t="shared" si="11"/>
        <v>62401.5</v>
      </c>
      <c r="G16" s="4">
        <f t="shared" si="11"/>
        <v>62401.5</v>
      </c>
      <c r="H16" s="4">
        <f t="shared" si="11"/>
        <v>62401.5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78662.849999999991</v>
      </c>
      <c r="D18" s="7">
        <f t="shared" si="13"/>
        <v>94622.849999999991</v>
      </c>
      <c r="E18" s="7">
        <f t="shared" si="13"/>
        <v>102602.84999999999</v>
      </c>
      <c r="F18" s="7">
        <f t="shared" si="13"/>
        <v>106592.84999999999</v>
      </c>
      <c r="G18" s="7">
        <f t="shared" si="13"/>
        <v>110582.84999999999</v>
      </c>
      <c r="H18" s="7">
        <f t="shared" si="13"/>
        <v>118562.84999999999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41401.5</v>
      </c>
      <c r="D19" s="7">
        <f t="shared" si="14"/>
        <v>49801.5</v>
      </c>
      <c r="E19" s="7">
        <f t="shared" si="14"/>
        <v>54001.5</v>
      </c>
      <c r="F19" s="7">
        <f t="shared" si="14"/>
        <v>56101.5</v>
      </c>
      <c r="G19" s="7">
        <f t="shared" si="14"/>
        <v>58201.5</v>
      </c>
      <c r="H19" s="7">
        <f t="shared" si="14"/>
        <v>62401.5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285439.84999999998</v>
      </c>
      <c r="D20" s="9">
        <f t="shared" si="15"/>
        <v>349279.85</v>
      </c>
      <c r="E20" s="9">
        <f t="shared" si="15"/>
        <v>381199.85</v>
      </c>
      <c r="F20" s="9">
        <f t="shared" si="15"/>
        <v>397159.85</v>
      </c>
      <c r="G20" s="9">
        <f t="shared" si="15"/>
        <v>413119.85</v>
      </c>
      <c r="H20" s="9">
        <f t="shared" si="15"/>
        <v>445039.85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37" t="s">
        <v>27</v>
      </c>
      <c r="B26" s="95"/>
      <c r="C26" s="74"/>
      <c r="D26" s="74"/>
      <c r="E26" s="74"/>
      <c r="F26" s="74"/>
      <c r="G26" s="74"/>
      <c r="H26" s="74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B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90" t="s">
        <v>187</v>
      </c>
      <c r="B1" s="74"/>
      <c r="C1" s="74"/>
      <c r="D1" s="74"/>
      <c r="E1" s="74"/>
      <c r="F1" s="74"/>
      <c r="G1" s="74"/>
      <c r="H1" s="75"/>
    </row>
    <row r="2" spans="1:13" ht="37.5" customHeight="1" x14ac:dyDescent="0.2">
      <c r="A2" s="91" t="s">
        <v>188</v>
      </c>
      <c r="B2" s="74"/>
      <c r="C2" s="74"/>
      <c r="D2" s="74"/>
      <c r="E2" s="74"/>
      <c r="F2" s="74"/>
      <c r="G2" s="74"/>
      <c r="H2" s="75"/>
    </row>
    <row r="3" spans="1:13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165</v>
      </c>
    </row>
    <row r="4" spans="1:13" ht="15.75" customHeight="1" x14ac:dyDescent="0.2">
      <c r="A4" s="92" t="s">
        <v>11</v>
      </c>
      <c r="B4" s="3" t="s">
        <v>12</v>
      </c>
      <c r="C4" s="16">
        <v>62600</v>
      </c>
      <c r="D4" s="16">
        <f t="shared" ref="D4:H4" si="0">C4</f>
        <v>62600</v>
      </c>
      <c r="E4" s="16">
        <f t="shared" si="0"/>
        <v>62600</v>
      </c>
      <c r="F4" s="16">
        <f t="shared" si="0"/>
        <v>62600</v>
      </c>
      <c r="G4" s="16">
        <f t="shared" si="0"/>
        <v>62600</v>
      </c>
      <c r="H4" s="16">
        <f t="shared" si="0"/>
        <v>62600</v>
      </c>
    </row>
    <row r="5" spans="1:13" ht="15.75" customHeight="1" x14ac:dyDescent="0.2">
      <c r="A5" s="93"/>
      <c r="B5" s="3" t="s">
        <v>13</v>
      </c>
      <c r="C5" s="25">
        <v>23600</v>
      </c>
      <c r="D5" s="25">
        <v>14700</v>
      </c>
      <c r="E5" s="25">
        <v>9500</v>
      </c>
      <c r="F5" s="25">
        <v>7400</v>
      </c>
      <c r="G5" s="25">
        <v>4750</v>
      </c>
      <c r="H5" s="25">
        <v>3000</v>
      </c>
    </row>
    <row r="6" spans="1:13" ht="15.75" customHeight="1" x14ac:dyDescent="0.2">
      <c r="A6" s="93"/>
      <c r="B6" s="6" t="s">
        <v>14</v>
      </c>
      <c r="C6" s="7">
        <f t="shared" ref="C6:H6" si="1">(C4-C5)*2*0.95</f>
        <v>74100</v>
      </c>
      <c r="D6" s="7">
        <f t="shared" si="1"/>
        <v>91010</v>
      </c>
      <c r="E6" s="7">
        <f t="shared" si="1"/>
        <v>100890</v>
      </c>
      <c r="F6" s="7">
        <f t="shared" si="1"/>
        <v>104880</v>
      </c>
      <c r="G6" s="7">
        <f t="shared" si="1"/>
        <v>109915</v>
      </c>
      <c r="H6" s="7">
        <f t="shared" si="1"/>
        <v>113240</v>
      </c>
    </row>
    <row r="7" spans="1:13" ht="15.75" customHeight="1" x14ac:dyDescent="0.2">
      <c r="A7" s="94"/>
      <c r="B7" s="6" t="s">
        <v>15</v>
      </c>
      <c r="C7" s="7">
        <f t="shared" ref="C7:H7" si="2">(C4-C5)</f>
        <v>39000</v>
      </c>
      <c r="D7" s="7">
        <f t="shared" si="2"/>
        <v>47900</v>
      </c>
      <c r="E7" s="7">
        <f t="shared" si="2"/>
        <v>53100</v>
      </c>
      <c r="F7" s="7">
        <f t="shared" si="2"/>
        <v>55200</v>
      </c>
      <c r="G7" s="7">
        <f t="shared" si="2"/>
        <v>57850</v>
      </c>
      <c r="H7" s="7">
        <f t="shared" si="2"/>
        <v>59600</v>
      </c>
    </row>
    <row r="8" spans="1:13" ht="15.75" customHeight="1" x14ac:dyDescent="0.2">
      <c r="A8" s="92" t="s">
        <v>16</v>
      </c>
      <c r="B8" s="3" t="s">
        <v>12</v>
      </c>
      <c r="C8" s="4">
        <v>63800</v>
      </c>
      <c r="D8" s="4">
        <f t="shared" ref="D8:H8" si="3">C8</f>
        <v>63800</v>
      </c>
      <c r="E8" s="4">
        <f t="shared" si="3"/>
        <v>63800</v>
      </c>
      <c r="F8" s="4">
        <f t="shared" si="3"/>
        <v>63800</v>
      </c>
      <c r="G8" s="4">
        <f t="shared" si="3"/>
        <v>63800</v>
      </c>
      <c r="H8" s="4">
        <f t="shared" si="3"/>
        <v>63800</v>
      </c>
      <c r="I8" s="18"/>
      <c r="J8" s="18"/>
      <c r="K8" s="18"/>
      <c r="L8" s="18"/>
      <c r="M8" s="18"/>
    </row>
    <row r="9" spans="1:13" ht="15.75" customHeight="1" x14ac:dyDescent="0.2">
      <c r="A9" s="93"/>
      <c r="B9" s="3" t="s">
        <v>13</v>
      </c>
      <c r="C9" s="4">
        <f t="shared" ref="C9:H9" si="4">C5</f>
        <v>23600</v>
      </c>
      <c r="D9" s="4">
        <f t="shared" si="4"/>
        <v>14700</v>
      </c>
      <c r="E9" s="4">
        <f t="shared" si="4"/>
        <v>9500</v>
      </c>
      <c r="F9" s="4">
        <f t="shared" si="4"/>
        <v>7400</v>
      </c>
      <c r="G9" s="4">
        <f t="shared" si="4"/>
        <v>4750</v>
      </c>
      <c r="H9" s="4">
        <f t="shared" si="4"/>
        <v>3000</v>
      </c>
    </row>
    <row r="10" spans="1:13" ht="15.75" customHeight="1" x14ac:dyDescent="0.2">
      <c r="A10" s="93"/>
      <c r="B10" s="6" t="s">
        <v>14</v>
      </c>
      <c r="C10" s="7">
        <f t="shared" ref="C10:H10" si="5">(C8-C9)*2*0.95</f>
        <v>76380</v>
      </c>
      <c r="D10" s="7">
        <f t="shared" si="5"/>
        <v>93290</v>
      </c>
      <c r="E10" s="7">
        <f t="shared" si="5"/>
        <v>103170</v>
      </c>
      <c r="F10" s="7">
        <f t="shared" si="5"/>
        <v>107160</v>
      </c>
      <c r="G10" s="7">
        <f t="shared" si="5"/>
        <v>112195</v>
      </c>
      <c r="H10" s="7">
        <f t="shared" si="5"/>
        <v>115520</v>
      </c>
    </row>
    <row r="11" spans="1:13" ht="15.75" customHeight="1" x14ac:dyDescent="0.2">
      <c r="A11" s="94"/>
      <c r="B11" s="6" t="s">
        <v>15</v>
      </c>
      <c r="C11" s="7">
        <f t="shared" ref="C11:H11" si="6">(C8-C9)</f>
        <v>40200</v>
      </c>
      <c r="D11" s="7">
        <f t="shared" si="6"/>
        <v>49100</v>
      </c>
      <c r="E11" s="7">
        <f t="shared" si="6"/>
        <v>54300</v>
      </c>
      <c r="F11" s="7">
        <f t="shared" si="6"/>
        <v>56400</v>
      </c>
      <c r="G11" s="7">
        <f t="shared" si="6"/>
        <v>59050</v>
      </c>
      <c r="H11" s="7">
        <f t="shared" si="6"/>
        <v>60800</v>
      </c>
    </row>
    <row r="12" spans="1:13" ht="15.75" customHeight="1" x14ac:dyDescent="0.2">
      <c r="A12" s="92" t="s">
        <v>17</v>
      </c>
      <c r="B12" s="3" t="s">
        <v>12</v>
      </c>
      <c r="C12" s="4">
        <f>C8*1.05</f>
        <v>66990</v>
      </c>
      <c r="D12" s="4">
        <f t="shared" ref="D12:H12" si="7">C12</f>
        <v>66990</v>
      </c>
      <c r="E12" s="4">
        <f t="shared" si="7"/>
        <v>66990</v>
      </c>
      <c r="F12" s="4">
        <f t="shared" si="7"/>
        <v>66990</v>
      </c>
      <c r="G12" s="4">
        <f t="shared" si="7"/>
        <v>66990</v>
      </c>
      <c r="H12" s="4">
        <f t="shared" si="7"/>
        <v>66990</v>
      </c>
    </row>
    <row r="13" spans="1:13" ht="15.75" customHeight="1" x14ac:dyDescent="0.2">
      <c r="A13" s="93"/>
      <c r="B13" s="3" t="s">
        <v>13</v>
      </c>
      <c r="C13" s="4">
        <f t="shared" ref="C13:H13" si="8">C5</f>
        <v>23600</v>
      </c>
      <c r="D13" s="4">
        <f t="shared" si="8"/>
        <v>14700</v>
      </c>
      <c r="E13" s="4">
        <f t="shared" si="8"/>
        <v>9500</v>
      </c>
      <c r="F13" s="4">
        <f t="shared" si="8"/>
        <v>7400</v>
      </c>
      <c r="G13" s="4">
        <f t="shared" si="8"/>
        <v>4750</v>
      </c>
      <c r="H13" s="4">
        <f t="shared" si="8"/>
        <v>3000</v>
      </c>
    </row>
    <row r="14" spans="1:13" ht="15.75" customHeight="1" x14ac:dyDescent="0.2">
      <c r="A14" s="93"/>
      <c r="B14" s="6" t="s">
        <v>14</v>
      </c>
      <c r="C14" s="7">
        <f t="shared" ref="C14:H14" si="9">(C12-C13)*2*0.95</f>
        <v>82441</v>
      </c>
      <c r="D14" s="7">
        <f t="shared" si="9"/>
        <v>99351</v>
      </c>
      <c r="E14" s="7">
        <f t="shared" si="9"/>
        <v>109231</v>
      </c>
      <c r="F14" s="7">
        <f t="shared" si="9"/>
        <v>113221</v>
      </c>
      <c r="G14" s="7">
        <f t="shared" si="9"/>
        <v>118256</v>
      </c>
      <c r="H14" s="7">
        <f t="shared" si="9"/>
        <v>121581</v>
      </c>
    </row>
    <row r="15" spans="1:13" ht="15.75" customHeight="1" x14ac:dyDescent="0.2">
      <c r="A15" s="94"/>
      <c r="B15" s="6" t="s">
        <v>15</v>
      </c>
      <c r="C15" s="7">
        <f t="shared" ref="C15:H15" si="10">(C12-C13)</f>
        <v>43390</v>
      </c>
      <c r="D15" s="7">
        <f t="shared" si="10"/>
        <v>52290</v>
      </c>
      <c r="E15" s="7">
        <f t="shared" si="10"/>
        <v>57490</v>
      </c>
      <c r="F15" s="7">
        <f t="shared" si="10"/>
        <v>59590</v>
      </c>
      <c r="G15" s="7">
        <f t="shared" si="10"/>
        <v>62240</v>
      </c>
      <c r="H15" s="7">
        <f t="shared" si="10"/>
        <v>63990</v>
      </c>
    </row>
    <row r="16" spans="1:13" ht="15.75" customHeight="1" x14ac:dyDescent="0.2">
      <c r="A16" s="76" t="s">
        <v>19</v>
      </c>
      <c r="B16" s="75"/>
      <c r="C16" s="9">
        <f t="shared" ref="C16:H16" si="11">SUM(C6,C10,C14)</f>
        <v>232921</v>
      </c>
      <c r="D16" s="9">
        <f t="shared" si="11"/>
        <v>283651</v>
      </c>
      <c r="E16" s="9">
        <f t="shared" si="11"/>
        <v>313291</v>
      </c>
      <c r="F16" s="9">
        <f t="shared" si="11"/>
        <v>325261</v>
      </c>
      <c r="G16" s="9">
        <f t="shared" si="11"/>
        <v>340366</v>
      </c>
      <c r="H16" s="9">
        <f t="shared" si="11"/>
        <v>350341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20500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10750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117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90" t="s">
        <v>189</v>
      </c>
      <c r="B1" s="74"/>
      <c r="C1" s="74"/>
      <c r="D1" s="74"/>
      <c r="E1" s="74"/>
      <c r="F1" s="74"/>
      <c r="G1" s="74"/>
      <c r="H1" s="75"/>
    </row>
    <row r="2" spans="1:13" ht="81.75" customHeight="1" x14ac:dyDescent="0.2">
      <c r="A2" s="143" t="s">
        <v>190</v>
      </c>
      <c r="B2" s="142"/>
      <c r="C2" s="142"/>
      <c r="D2" s="142"/>
      <c r="E2" s="142"/>
      <c r="F2" s="142"/>
      <c r="G2" s="142"/>
      <c r="H2" s="142"/>
    </row>
    <row r="3" spans="1:13" ht="15.75" customHeight="1" x14ac:dyDescent="0.2">
      <c r="A3" s="29" t="s">
        <v>2</v>
      </c>
      <c r="B3" s="29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13" ht="15.75" customHeight="1" x14ac:dyDescent="0.2">
      <c r="A4" s="139" t="s">
        <v>11</v>
      </c>
      <c r="B4" s="30" t="s">
        <v>12</v>
      </c>
      <c r="C4" s="16">
        <v>50700</v>
      </c>
      <c r="D4" s="16">
        <f t="shared" ref="D4:H4" si="0">C4</f>
        <v>50700</v>
      </c>
      <c r="E4" s="16">
        <f t="shared" si="0"/>
        <v>50700</v>
      </c>
      <c r="F4" s="16">
        <f t="shared" si="0"/>
        <v>50700</v>
      </c>
      <c r="G4" s="16">
        <f t="shared" si="0"/>
        <v>50700</v>
      </c>
      <c r="H4" s="16">
        <f t="shared" si="0"/>
        <v>50700</v>
      </c>
    </row>
    <row r="5" spans="1:13" ht="15.75" customHeight="1" x14ac:dyDescent="0.2">
      <c r="A5" s="80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  <c r="I5" s="18"/>
      <c r="J5" s="18"/>
      <c r="K5" s="18"/>
      <c r="L5" s="18"/>
      <c r="M5" s="18"/>
    </row>
    <row r="6" spans="1:13" ht="15.75" customHeight="1" x14ac:dyDescent="0.2">
      <c r="A6" s="80"/>
      <c r="B6" s="6" t="s">
        <v>14</v>
      </c>
      <c r="C6" s="7">
        <f t="shared" ref="C6:H6" si="1">(C4-C5)*2*0.95</f>
        <v>56430</v>
      </c>
      <c r="D6" s="7">
        <f t="shared" si="1"/>
        <v>72390</v>
      </c>
      <c r="E6" s="7">
        <f t="shared" si="1"/>
        <v>80370</v>
      </c>
      <c r="F6" s="7">
        <f t="shared" si="1"/>
        <v>84360</v>
      </c>
      <c r="G6" s="7">
        <f t="shared" si="1"/>
        <v>88350</v>
      </c>
      <c r="H6" s="7">
        <f t="shared" si="1"/>
        <v>96330</v>
      </c>
    </row>
    <row r="7" spans="1:13" ht="15.75" customHeight="1" x14ac:dyDescent="0.2">
      <c r="A7" s="140"/>
      <c r="B7" s="6" t="s">
        <v>15</v>
      </c>
      <c r="C7" s="7">
        <f t="shared" ref="C7:H7" si="2">(C4-C5)</f>
        <v>29700</v>
      </c>
      <c r="D7" s="7">
        <f t="shared" si="2"/>
        <v>38100</v>
      </c>
      <c r="E7" s="7">
        <f t="shared" si="2"/>
        <v>42300</v>
      </c>
      <c r="F7" s="7">
        <f t="shared" si="2"/>
        <v>44400</v>
      </c>
      <c r="G7" s="7">
        <f t="shared" si="2"/>
        <v>46500</v>
      </c>
      <c r="H7" s="7">
        <f t="shared" si="2"/>
        <v>50700</v>
      </c>
    </row>
    <row r="8" spans="1:13" ht="15.75" customHeight="1" x14ac:dyDescent="0.2">
      <c r="A8" s="139" t="s">
        <v>16</v>
      </c>
      <c r="B8" s="30" t="s">
        <v>12</v>
      </c>
      <c r="C8" s="4">
        <v>51400</v>
      </c>
      <c r="D8" s="4">
        <f t="shared" ref="D8:H8" si="3">C8</f>
        <v>51400</v>
      </c>
      <c r="E8" s="4">
        <f t="shared" si="3"/>
        <v>51400</v>
      </c>
      <c r="F8" s="4">
        <f t="shared" si="3"/>
        <v>51400</v>
      </c>
      <c r="G8" s="32">
        <f t="shared" si="3"/>
        <v>51400</v>
      </c>
      <c r="H8" s="32">
        <f t="shared" si="3"/>
        <v>51400</v>
      </c>
    </row>
    <row r="9" spans="1:13" ht="15.75" customHeight="1" x14ac:dyDescent="0.2">
      <c r="A9" s="80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32">
        <f t="shared" si="4"/>
        <v>4200</v>
      </c>
      <c r="H9" s="32">
        <f t="shared" si="4"/>
        <v>0</v>
      </c>
    </row>
    <row r="10" spans="1:13" ht="15.75" customHeight="1" x14ac:dyDescent="0.2">
      <c r="A10" s="80"/>
      <c r="B10" s="6" t="s">
        <v>14</v>
      </c>
      <c r="C10" s="7">
        <f t="shared" ref="C10:H10" si="5">(C8-C9)*2*0.95</f>
        <v>57760</v>
      </c>
      <c r="D10" s="7">
        <f t="shared" si="5"/>
        <v>73720</v>
      </c>
      <c r="E10" s="7">
        <f t="shared" si="5"/>
        <v>81700</v>
      </c>
      <c r="F10" s="7">
        <f t="shared" si="5"/>
        <v>85690</v>
      </c>
      <c r="G10" s="7">
        <f t="shared" si="5"/>
        <v>89680</v>
      </c>
      <c r="H10" s="7">
        <f t="shared" si="5"/>
        <v>97660</v>
      </c>
    </row>
    <row r="11" spans="1:13" ht="15.75" customHeight="1" x14ac:dyDescent="0.2">
      <c r="A11" s="82"/>
      <c r="B11" s="6" t="s">
        <v>15</v>
      </c>
      <c r="C11" s="7">
        <f t="shared" ref="C11:H11" si="6">(C8-C9)</f>
        <v>30400</v>
      </c>
      <c r="D11" s="7">
        <f t="shared" si="6"/>
        <v>38800</v>
      </c>
      <c r="E11" s="7">
        <f t="shared" si="6"/>
        <v>43000</v>
      </c>
      <c r="F11" s="7">
        <f t="shared" si="6"/>
        <v>45100</v>
      </c>
      <c r="G11" s="7">
        <f t="shared" si="6"/>
        <v>47200</v>
      </c>
      <c r="H11" s="7">
        <f t="shared" si="6"/>
        <v>51400</v>
      </c>
    </row>
    <row r="12" spans="1:13" ht="15.75" customHeight="1" x14ac:dyDescent="0.2">
      <c r="A12" s="139" t="s">
        <v>17</v>
      </c>
      <c r="B12" s="30" t="s">
        <v>12</v>
      </c>
      <c r="C12" s="4">
        <f>C8*1.05</f>
        <v>53970</v>
      </c>
      <c r="D12" s="4">
        <f t="shared" ref="D12:H12" si="7">C12</f>
        <v>53970</v>
      </c>
      <c r="E12" s="4">
        <f t="shared" si="7"/>
        <v>53970</v>
      </c>
      <c r="F12" s="4">
        <f t="shared" si="7"/>
        <v>53970</v>
      </c>
      <c r="G12" s="32">
        <f t="shared" si="7"/>
        <v>53970</v>
      </c>
      <c r="H12" s="32">
        <f t="shared" si="7"/>
        <v>53970</v>
      </c>
    </row>
    <row r="13" spans="1:13" ht="15.75" customHeight="1" x14ac:dyDescent="0.2">
      <c r="A13" s="80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32">
        <f t="shared" si="8"/>
        <v>4200</v>
      </c>
      <c r="H13" s="32">
        <f t="shared" si="8"/>
        <v>0</v>
      </c>
    </row>
    <row r="14" spans="1:13" ht="15.75" customHeight="1" x14ac:dyDescent="0.2">
      <c r="A14" s="80"/>
      <c r="B14" s="6" t="s">
        <v>14</v>
      </c>
      <c r="C14" s="7">
        <f t="shared" ref="C14:H14" si="9">(C12-C13)*2*0.95</f>
        <v>62643</v>
      </c>
      <c r="D14" s="7">
        <f t="shared" si="9"/>
        <v>78603</v>
      </c>
      <c r="E14" s="7">
        <f t="shared" si="9"/>
        <v>86583</v>
      </c>
      <c r="F14" s="7">
        <f t="shared" si="9"/>
        <v>90573</v>
      </c>
      <c r="G14" s="7">
        <f t="shared" si="9"/>
        <v>94563</v>
      </c>
      <c r="H14" s="7">
        <f t="shared" si="9"/>
        <v>102543</v>
      </c>
    </row>
    <row r="15" spans="1:13" ht="15.75" customHeight="1" x14ac:dyDescent="0.2">
      <c r="A15" s="82"/>
      <c r="B15" s="6" t="s">
        <v>15</v>
      </c>
      <c r="C15" s="7">
        <f t="shared" ref="C15:H15" si="10">(C12-C13)</f>
        <v>32970</v>
      </c>
      <c r="D15" s="7">
        <f t="shared" si="10"/>
        <v>41370</v>
      </c>
      <c r="E15" s="7">
        <f t="shared" si="10"/>
        <v>45570</v>
      </c>
      <c r="F15" s="7">
        <f t="shared" si="10"/>
        <v>47670</v>
      </c>
      <c r="G15" s="7">
        <f t="shared" si="10"/>
        <v>49770</v>
      </c>
      <c r="H15" s="7">
        <f t="shared" si="10"/>
        <v>53970</v>
      </c>
    </row>
    <row r="16" spans="1:13" ht="15.75" customHeight="1" x14ac:dyDescent="0.2">
      <c r="A16" s="139" t="s">
        <v>191</v>
      </c>
      <c r="B16" s="30" t="s">
        <v>12</v>
      </c>
      <c r="C16" s="4">
        <f>C12*1.05</f>
        <v>56668.5</v>
      </c>
      <c r="D16" s="4">
        <f t="shared" ref="D16:H16" si="11">C16</f>
        <v>56668.5</v>
      </c>
      <c r="E16" s="4">
        <f t="shared" si="11"/>
        <v>56668.5</v>
      </c>
      <c r="F16" s="4">
        <f t="shared" si="11"/>
        <v>56668.5</v>
      </c>
      <c r="G16" s="32">
        <f t="shared" si="11"/>
        <v>56668.5</v>
      </c>
      <c r="H16" s="32">
        <f t="shared" si="11"/>
        <v>56668.5</v>
      </c>
    </row>
    <row r="17" spans="1:8" ht="15.75" customHeight="1" x14ac:dyDescent="0.2">
      <c r="A17" s="80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32">
        <f t="shared" si="12"/>
        <v>4200</v>
      </c>
      <c r="H17" s="32">
        <f t="shared" si="12"/>
        <v>0</v>
      </c>
    </row>
    <row r="18" spans="1:8" ht="15.75" customHeight="1" x14ac:dyDescent="0.2">
      <c r="A18" s="80"/>
      <c r="B18" s="6" t="s">
        <v>14</v>
      </c>
      <c r="C18" s="7">
        <f t="shared" ref="C18:H18" si="13">(C16-C17)*2*0.95</f>
        <v>67770.149999999994</v>
      </c>
      <c r="D18" s="7">
        <f t="shared" si="13"/>
        <v>83730.149999999994</v>
      </c>
      <c r="E18" s="7">
        <f t="shared" si="13"/>
        <v>91710.15</v>
      </c>
      <c r="F18" s="7">
        <f t="shared" si="13"/>
        <v>95700.15</v>
      </c>
      <c r="G18" s="7">
        <f t="shared" si="13"/>
        <v>99690.15</v>
      </c>
      <c r="H18" s="7">
        <f t="shared" si="13"/>
        <v>107670.15</v>
      </c>
    </row>
    <row r="19" spans="1:8" ht="15.75" customHeight="1" x14ac:dyDescent="0.2">
      <c r="A19" s="82"/>
      <c r="B19" s="6" t="s">
        <v>15</v>
      </c>
      <c r="C19" s="7">
        <f t="shared" ref="C19:H19" si="14">(C16-C17)</f>
        <v>35668.5</v>
      </c>
      <c r="D19" s="7">
        <f t="shared" si="14"/>
        <v>44068.5</v>
      </c>
      <c r="E19" s="7">
        <f t="shared" si="14"/>
        <v>48268.5</v>
      </c>
      <c r="F19" s="7">
        <f t="shared" si="14"/>
        <v>50368.5</v>
      </c>
      <c r="G19" s="7">
        <f t="shared" si="14"/>
        <v>52468.5</v>
      </c>
      <c r="H19" s="7">
        <f t="shared" si="14"/>
        <v>56668.5</v>
      </c>
    </row>
    <row r="20" spans="1:8" ht="15.75" customHeight="1" x14ac:dyDescent="0.2">
      <c r="A20" s="124" t="s">
        <v>19</v>
      </c>
      <c r="B20" s="125"/>
      <c r="C20" s="33">
        <f t="shared" ref="C20:H20" si="15">SUM(C6,C10,C14,C18)</f>
        <v>244603.15</v>
      </c>
      <c r="D20" s="33">
        <f t="shared" si="15"/>
        <v>308443.15000000002</v>
      </c>
      <c r="E20" s="33">
        <f t="shared" si="15"/>
        <v>340363.15</v>
      </c>
      <c r="F20" s="33">
        <f t="shared" si="15"/>
        <v>356323.15</v>
      </c>
      <c r="G20" s="33">
        <f t="shared" si="15"/>
        <v>372283.15</v>
      </c>
      <c r="H20" s="33">
        <f t="shared" si="15"/>
        <v>404203.15</v>
      </c>
    </row>
    <row r="21" spans="1:8" ht="15.75" customHeight="1" x14ac:dyDescent="0.2">
      <c r="A21" s="126" t="s">
        <v>20</v>
      </c>
      <c r="B21" s="127"/>
      <c r="C21" s="118" t="s">
        <v>21</v>
      </c>
      <c r="D21" s="82"/>
      <c r="E21" s="34">
        <v>10000</v>
      </c>
      <c r="F21" s="119"/>
      <c r="G21" s="120"/>
      <c r="H21" s="120"/>
    </row>
    <row r="22" spans="1:8" ht="15.75" customHeight="1" x14ac:dyDescent="0.2">
      <c r="A22" s="128"/>
      <c r="B22" s="129"/>
      <c r="C22" s="122" t="s">
        <v>22</v>
      </c>
      <c r="D22" s="75"/>
      <c r="E22" s="35">
        <v>5000</v>
      </c>
      <c r="F22" s="86"/>
      <c r="G22" s="86"/>
      <c r="H22" s="86"/>
    </row>
    <row r="23" spans="1:8" ht="15.75" customHeight="1" x14ac:dyDescent="0.2">
      <c r="A23" s="130"/>
      <c r="B23" s="131"/>
      <c r="C23" s="123" t="s">
        <v>23</v>
      </c>
      <c r="D23" s="78"/>
      <c r="E23" s="36">
        <v>3000</v>
      </c>
      <c r="F23" s="86"/>
      <c r="G23" s="86"/>
      <c r="H23" s="86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86"/>
      <c r="G24" s="86"/>
      <c r="H24" s="86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121"/>
      <c r="G25" s="121"/>
      <c r="H25" s="121"/>
    </row>
    <row r="26" spans="1:8" ht="15.75" customHeight="1" x14ac:dyDescent="0.2">
      <c r="A26" s="38" t="s">
        <v>27</v>
      </c>
      <c r="B26" s="65"/>
      <c r="C26" s="65"/>
      <c r="D26" s="65"/>
      <c r="E26" s="65"/>
      <c r="F26" s="65"/>
      <c r="G26" s="65"/>
      <c r="H26" s="65"/>
    </row>
    <row r="27" spans="1:8" ht="15.75" customHeight="1" x14ac:dyDescent="0.2">
      <c r="A27" s="141" t="s">
        <v>28</v>
      </c>
      <c r="B27" s="142"/>
      <c r="C27" s="142"/>
      <c r="D27" s="142"/>
      <c r="E27" s="142"/>
      <c r="F27" s="142"/>
      <c r="G27" s="142"/>
      <c r="H27" s="142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4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A19"/>
    <mergeCell ref="A20:B20"/>
    <mergeCell ref="C25:D25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26" width="11.1640625" customWidth="1"/>
  </cols>
  <sheetData>
    <row r="1" spans="1:8" ht="15.75" customHeight="1" x14ac:dyDescent="0.2">
      <c r="A1" s="90" t="s">
        <v>192</v>
      </c>
      <c r="B1" s="74"/>
      <c r="C1" s="74"/>
      <c r="D1" s="74"/>
      <c r="E1" s="74"/>
      <c r="F1" s="74"/>
      <c r="G1" s="74"/>
      <c r="H1" s="75"/>
    </row>
    <row r="2" spans="1:8" ht="36" customHeight="1" x14ac:dyDescent="0.2">
      <c r="A2" s="91" t="s">
        <v>193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50700</v>
      </c>
      <c r="D4" s="16">
        <f t="shared" ref="D4:H4" si="0">C4</f>
        <v>50700</v>
      </c>
      <c r="E4" s="16">
        <f t="shared" si="0"/>
        <v>50700</v>
      </c>
      <c r="F4" s="16">
        <f t="shared" si="0"/>
        <v>50700</v>
      </c>
      <c r="G4" s="16">
        <f t="shared" si="0"/>
        <v>50700</v>
      </c>
      <c r="H4" s="16">
        <f t="shared" si="0"/>
        <v>50700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56430</v>
      </c>
      <c r="D6" s="7">
        <f t="shared" si="1"/>
        <v>72390</v>
      </c>
      <c r="E6" s="7">
        <f t="shared" si="1"/>
        <v>80370</v>
      </c>
      <c r="F6" s="7">
        <f t="shared" si="1"/>
        <v>84360</v>
      </c>
      <c r="G6" s="7">
        <f t="shared" si="1"/>
        <v>88350</v>
      </c>
      <c r="H6" s="7">
        <f t="shared" si="1"/>
        <v>96330</v>
      </c>
    </row>
    <row r="7" spans="1:8" ht="15.75" customHeight="1" x14ac:dyDescent="0.2">
      <c r="A7" s="94"/>
      <c r="B7" s="6" t="s">
        <v>15</v>
      </c>
      <c r="C7" s="7">
        <f t="shared" ref="C7:H7" si="2">(C4-C5)</f>
        <v>29700</v>
      </c>
      <c r="D7" s="7">
        <f t="shared" si="2"/>
        <v>38100</v>
      </c>
      <c r="E7" s="7">
        <f t="shared" si="2"/>
        <v>42300</v>
      </c>
      <c r="F7" s="7">
        <f t="shared" si="2"/>
        <v>44400</v>
      </c>
      <c r="G7" s="7">
        <f t="shared" si="2"/>
        <v>46500</v>
      </c>
      <c r="H7" s="7">
        <f t="shared" si="2"/>
        <v>50700</v>
      </c>
    </row>
    <row r="8" spans="1:8" ht="15.75" customHeight="1" x14ac:dyDescent="0.2">
      <c r="A8" s="92" t="s">
        <v>16</v>
      </c>
      <c r="B8" s="3" t="s">
        <v>12</v>
      </c>
      <c r="C8" s="4">
        <v>51400</v>
      </c>
      <c r="D8" s="4">
        <f t="shared" ref="D8:H8" si="3">C8</f>
        <v>51400</v>
      </c>
      <c r="E8" s="4">
        <f t="shared" si="3"/>
        <v>51400</v>
      </c>
      <c r="F8" s="4">
        <f t="shared" si="3"/>
        <v>51400</v>
      </c>
      <c r="G8" s="4">
        <f t="shared" si="3"/>
        <v>51400</v>
      </c>
      <c r="H8" s="4">
        <f t="shared" si="3"/>
        <v>51400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57760</v>
      </c>
      <c r="D10" s="7">
        <f t="shared" si="5"/>
        <v>73720</v>
      </c>
      <c r="E10" s="7">
        <f t="shared" si="5"/>
        <v>81700</v>
      </c>
      <c r="F10" s="7">
        <f t="shared" si="5"/>
        <v>85690</v>
      </c>
      <c r="G10" s="7">
        <f t="shared" si="5"/>
        <v>89680</v>
      </c>
      <c r="H10" s="7">
        <f t="shared" si="5"/>
        <v>97660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30400</v>
      </c>
      <c r="D11" s="7">
        <f t="shared" si="6"/>
        <v>38800</v>
      </c>
      <c r="E11" s="7">
        <f t="shared" si="6"/>
        <v>43000</v>
      </c>
      <c r="F11" s="7">
        <f t="shared" si="6"/>
        <v>45100</v>
      </c>
      <c r="G11" s="7">
        <f t="shared" si="6"/>
        <v>47200</v>
      </c>
      <c r="H11" s="7">
        <f t="shared" si="6"/>
        <v>51400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53970</v>
      </c>
      <c r="D12" s="4">
        <f t="shared" ref="D12:H12" si="7">C12</f>
        <v>53970</v>
      </c>
      <c r="E12" s="4">
        <f t="shared" si="7"/>
        <v>53970</v>
      </c>
      <c r="F12" s="4">
        <f t="shared" si="7"/>
        <v>53970</v>
      </c>
      <c r="G12" s="4">
        <f t="shared" si="7"/>
        <v>53970</v>
      </c>
      <c r="H12" s="4">
        <f t="shared" si="7"/>
        <v>53970</v>
      </c>
    </row>
    <row r="13" spans="1:8" ht="15.75" customHeight="1" x14ac:dyDescent="0.2">
      <c r="A13" s="93"/>
      <c r="B13" s="3" t="s">
        <v>13</v>
      </c>
      <c r="C13" s="4">
        <f t="shared" ref="C13:H13" si="8">C9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62643</v>
      </c>
      <c r="D14" s="7">
        <f t="shared" si="9"/>
        <v>78603</v>
      </c>
      <c r="E14" s="7">
        <f t="shared" si="9"/>
        <v>86583</v>
      </c>
      <c r="F14" s="7">
        <f t="shared" si="9"/>
        <v>90573</v>
      </c>
      <c r="G14" s="7">
        <f t="shared" si="9"/>
        <v>94563</v>
      </c>
      <c r="H14" s="7">
        <f t="shared" si="9"/>
        <v>102543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32970</v>
      </c>
      <c r="D15" s="7">
        <f t="shared" si="10"/>
        <v>41370</v>
      </c>
      <c r="E15" s="7">
        <f t="shared" si="10"/>
        <v>45570</v>
      </c>
      <c r="F15" s="7">
        <f t="shared" si="10"/>
        <v>47670</v>
      </c>
      <c r="G15" s="7">
        <f t="shared" si="10"/>
        <v>49770</v>
      </c>
      <c r="H15" s="7">
        <f t="shared" si="10"/>
        <v>53970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56668.5</v>
      </c>
      <c r="D16" s="4">
        <f t="shared" ref="D16:H16" si="11">C16</f>
        <v>56668.5</v>
      </c>
      <c r="E16" s="4">
        <f t="shared" si="11"/>
        <v>56668.5</v>
      </c>
      <c r="F16" s="4">
        <f t="shared" si="11"/>
        <v>56668.5</v>
      </c>
      <c r="G16" s="4">
        <f t="shared" si="11"/>
        <v>56668.5</v>
      </c>
      <c r="H16" s="4">
        <f t="shared" si="11"/>
        <v>56668.5</v>
      </c>
    </row>
    <row r="17" spans="1:8" ht="15.75" customHeight="1" x14ac:dyDescent="0.2">
      <c r="A17" s="93"/>
      <c r="B17" s="3" t="s">
        <v>13</v>
      </c>
      <c r="C17" s="4">
        <f t="shared" ref="C17:H17" si="12">C13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67770.149999999994</v>
      </c>
      <c r="D18" s="7">
        <f t="shared" si="13"/>
        <v>83730.149999999994</v>
      </c>
      <c r="E18" s="7">
        <f t="shared" si="13"/>
        <v>91710.15</v>
      </c>
      <c r="F18" s="7">
        <f t="shared" si="13"/>
        <v>95700.15</v>
      </c>
      <c r="G18" s="7">
        <f t="shared" si="13"/>
        <v>99690.15</v>
      </c>
      <c r="H18" s="7">
        <f t="shared" si="13"/>
        <v>107670.15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35668.5</v>
      </c>
      <c r="D19" s="7">
        <f t="shared" si="14"/>
        <v>44068.5</v>
      </c>
      <c r="E19" s="7">
        <f t="shared" si="14"/>
        <v>48268.5</v>
      </c>
      <c r="F19" s="7">
        <f t="shared" si="14"/>
        <v>50368.5</v>
      </c>
      <c r="G19" s="7">
        <f t="shared" si="14"/>
        <v>52468.5</v>
      </c>
      <c r="H19" s="7">
        <f t="shared" si="14"/>
        <v>56668.5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244603.15</v>
      </c>
      <c r="D20" s="9">
        <f t="shared" si="15"/>
        <v>308443.15000000002</v>
      </c>
      <c r="E20" s="9">
        <f t="shared" si="15"/>
        <v>340363.15</v>
      </c>
      <c r="F20" s="9">
        <f t="shared" si="15"/>
        <v>356323.15</v>
      </c>
      <c r="G20" s="9">
        <f t="shared" si="15"/>
        <v>372283.15</v>
      </c>
      <c r="H20" s="9">
        <f t="shared" si="15"/>
        <v>404203.15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20">
        <v>10000</v>
      </c>
      <c r="F21" s="116"/>
      <c r="G21" s="86"/>
      <c r="H21" s="86"/>
    </row>
    <row r="22" spans="1:8" ht="15.75" customHeight="1" x14ac:dyDescent="0.2">
      <c r="A22" s="79"/>
      <c r="B22" s="80"/>
      <c r="C22" s="83" t="s">
        <v>22</v>
      </c>
      <c r="D22" s="75"/>
      <c r="E22" s="20">
        <v>5000</v>
      </c>
      <c r="F22" s="86"/>
      <c r="G22" s="86"/>
      <c r="H22" s="86"/>
    </row>
    <row r="23" spans="1:8" ht="15.75" customHeight="1" x14ac:dyDescent="0.2">
      <c r="A23" s="81"/>
      <c r="B23" s="82"/>
      <c r="C23" s="88" t="s">
        <v>23</v>
      </c>
      <c r="D23" s="75"/>
      <c r="E23" s="20">
        <v>3000</v>
      </c>
      <c r="F23" s="86"/>
      <c r="G23" s="86"/>
      <c r="H23" s="86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22">
        <v>18500</v>
      </c>
      <c r="F24" s="86"/>
      <c r="G24" s="86"/>
      <c r="H24" s="86"/>
    </row>
    <row r="25" spans="1:8" ht="15.75" customHeight="1" x14ac:dyDescent="0.2">
      <c r="A25" s="81"/>
      <c r="B25" s="82"/>
      <c r="C25" s="76" t="s">
        <v>26</v>
      </c>
      <c r="D25" s="75"/>
      <c r="E25" s="22">
        <v>9750</v>
      </c>
      <c r="F25" s="86"/>
      <c r="G25" s="86"/>
      <c r="H25" s="86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26" width="11.1640625" customWidth="1"/>
  </cols>
  <sheetData>
    <row r="1" spans="1:8" ht="15.75" customHeight="1" x14ac:dyDescent="0.2">
      <c r="A1" s="90" t="s">
        <v>194</v>
      </c>
      <c r="B1" s="74"/>
      <c r="C1" s="74"/>
      <c r="D1" s="74"/>
      <c r="E1" s="74"/>
      <c r="F1" s="74"/>
      <c r="G1" s="74"/>
      <c r="H1" s="75"/>
    </row>
    <row r="2" spans="1:8" ht="36" customHeight="1" x14ac:dyDescent="0.2">
      <c r="A2" s="91" t="s">
        <v>195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50700</v>
      </c>
      <c r="D4" s="16">
        <f t="shared" ref="D4:H4" si="0">C4</f>
        <v>50700</v>
      </c>
      <c r="E4" s="16">
        <f t="shared" si="0"/>
        <v>50700</v>
      </c>
      <c r="F4" s="16">
        <f t="shared" si="0"/>
        <v>50700</v>
      </c>
      <c r="G4" s="16">
        <f t="shared" si="0"/>
        <v>50700</v>
      </c>
      <c r="H4" s="16">
        <f t="shared" si="0"/>
        <v>50700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56430</v>
      </c>
      <c r="D6" s="7">
        <f t="shared" si="1"/>
        <v>72390</v>
      </c>
      <c r="E6" s="7">
        <f t="shared" si="1"/>
        <v>80370</v>
      </c>
      <c r="F6" s="7">
        <f t="shared" si="1"/>
        <v>84360</v>
      </c>
      <c r="G6" s="7">
        <f t="shared" si="1"/>
        <v>88350</v>
      </c>
      <c r="H6" s="7">
        <f t="shared" si="1"/>
        <v>96330</v>
      </c>
    </row>
    <row r="7" spans="1:8" ht="15.75" customHeight="1" x14ac:dyDescent="0.2">
      <c r="A7" s="94"/>
      <c r="B7" s="6" t="s">
        <v>15</v>
      </c>
      <c r="C7" s="7">
        <f t="shared" ref="C7:H7" si="2">(C4-C5)</f>
        <v>29700</v>
      </c>
      <c r="D7" s="7">
        <f t="shared" si="2"/>
        <v>38100</v>
      </c>
      <c r="E7" s="7">
        <f t="shared" si="2"/>
        <v>42300</v>
      </c>
      <c r="F7" s="7">
        <f t="shared" si="2"/>
        <v>44400</v>
      </c>
      <c r="G7" s="7">
        <f t="shared" si="2"/>
        <v>46500</v>
      </c>
      <c r="H7" s="7">
        <f t="shared" si="2"/>
        <v>50700</v>
      </c>
    </row>
    <row r="8" spans="1:8" ht="15.75" customHeight="1" x14ac:dyDescent="0.2">
      <c r="A8" s="92" t="s">
        <v>16</v>
      </c>
      <c r="B8" s="3" t="s">
        <v>12</v>
      </c>
      <c r="C8" s="4">
        <v>51400</v>
      </c>
      <c r="D8" s="4">
        <f t="shared" ref="D8:H8" si="3">C8</f>
        <v>51400</v>
      </c>
      <c r="E8" s="4">
        <f t="shared" si="3"/>
        <v>51400</v>
      </c>
      <c r="F8" s="4">
        <f t="shared" si="3"/>
        <v>51400</v>
      </c>
      <c r="G8" s="4">
        <f t="shared" si="3"/>
        <v>51400</v>
      </c>
      <c r="H8" s="4">
        <f t="shared" si="3"/>
        <v>51400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57760</v>
      </c>
      <c r="D10" s="7">
        <f t="shared" si="5"/>
        <v>73720</v>
      </c>
      <c r="E10" s="7">
        <f t="shared" si="5"/>
        <v>81700</v>
      </c>
      <c r="F10" s="7">
        <f t="shared" si="5"/>
        <v>85690</v>
      </c>
      <c r="G10" s="7">
        <f t="shared" si="5"/>
        <v>89680</v>
      </c>
      <c r="H10" s="7">
        <f t="shared" si="5"/>
        <v>97660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30400</v>
      </c>
      <c r="D11" s="7">
        <f t="shared" si="6"/>
        <v>38800</v>
      </c>
      <c r="E11" s="7">
        <f t="shared" si="6"/>
        <v>43000</v>
      </c>
      <c r="F11" s="7">
        <f t="shared" si="6"/>
        <v>45100</v>
      </c>
      <c r="G11" s="7">
        <f t="shared" si="6"/>
        <v>47200</v>
      </c>
      <c r="H11" s="7">
        <f t="shared" si="6"/>
        <v>51400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53970</v>
      </c>
      <c r="D12" s="4">
        <f t="shared" ref="D12:H12" si="7">C12</f>
        <v>53970</v>
      </c>
      <c r="E12" s="4">
        <f t="shared" si="7"/>
        <v>53970</v>
      </c>
      <c r="F12" s="4">
        <f t="shared" si="7"/>
        <v>53970</v>
      </c>
      <c r="G12" s="4">
        <f t="shared" si="7"/>
        <v>53970</v>
      </c>
      <c r="H12" s="4">
        <f t="shared" si="7"/>
        <v>53970</v>
      </c>
    </row>
    <row r="13" spans="1:8" ht="15.75" customHeight="1" x14ac:dyDescent="0.2">
      <c r="A13" s="93"/>
      <c r="B13" s="3" t="s">
        <v>13</v>
      </c>
      <c r="C13" s="4">
        <f t="shared" ref="C13:H13" si="8">C9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62643</v>
      </c>
      <c r="D14" s="7">
        <f t="shared" si="9"/>
        <v>78603</v>
      </c>
      <c r="E14" s="7">
        <f t="shared" si="9"/>
        <v>86583</v>
      </c>
      <c r="F14" s="7">
        <f t="shared" si="9"/>
        <v>90573</v>
      </c>
      <c r="G14" s="7">
        <f t="shared" si="9"/>
        <v>94563</v>
      </c>
      <c r="H14" s="7">
        <f t="shared" si="9"/>
        <v>102543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32970</v>
      </c>
      <c r="D15" s="7">
        <f t="shared" si="10"/>
        <v>41370</v>
      </c>
      <c r="E15" s="7">
        <f t="shared" si="10"/>
        <v>45570</v>
      </c>
      <c r="F15" s="7">
        <f t="shared" si="10"/>
        <v>47670</v>
      </c>
      <c r="G15" s="7">
        <f t="shared" si="10"/>
        <v>49770</v>
      </c>
      <c r="H15" s="7">
        <f t="shared" si="10"/>
        <v>53970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176833</v>
      </c>
      <c r="D16" s="9">
        <f t="shared" si="11"/>
        <v>224713</v>
      </c>
      <c r="E16" s="9">
        <f t="shared" si="11"/>
        <v>248653</v>
      </c>
      <c r="F16" s="19">
        <f t="shared" si="11"/>
        <v>260623</v>
      </c>
      <c r="G16" s="19">
        <f t="shared" si="11"/>
        <v>272593</v>
      </c>
      <c r="H16" s="19">
        <f t="shared" si="11"/>
        <v>296533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20">
        <v>10000</v>
      </c>
      <c r="F17" s="116"/>
      <c r="G17" s="86"/>
      <c r="H17" s="86"/>
    </row>
    <row r="18" spans="1:8" ht="15.75" customHeight="1" x14ac:dyDescent="0.2">
      <c r="A18" s="79"/>
      <c r="B18" s="80"/>
      <c r="C18" s="83" t="s">
        <v>22</v>
      </c>
      <c r="D18" s="75"/>
      <c r="E18" s="20">
        <v>5000</v>
      </c>
      <c r="F18" s="86"/>
      <c r="G18" s="86"/>
      <c r="H18" s="86"/>
    </row>
    <row r="19" spans="1:8" ht="15.75" customHeight="1" x14ac:dyDescent="0.2">
      <c r="A19" s="81"/>
      <c r="B19" s="82"/>
      <c r="C19" s="88" t="s">
        <v>23</v>
      </c>
      <c r="D19" s="75"/>
      <c r="E19" s="20">
        <v>3000</v>
      </c>
      <c r="F19" s="86"/>
      <c r="G19" s="86"/>
      <c r="H19" s="86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22">
        <v>18500</v>
      </c>
      <c r="F20" s="86"/>
      <c r="G20" s="86"/>
      <c r="H20" s="86"/>
    </row>
    <row r="21" spans="1:8" ht="15.75" customHeight="1" x14ac:dyDescent="0.2">
      <c r="A21" s="81"/>
      <c r="B21" s="82"/>
      <c r="C21" s="76" t="s">
        <v>26</v>
      </c>
      <c r="D21" s="75"/>
      <c r="E21" s="22">
        <v>9750</v>
      </c>
      <c r="F21" s="86"/>
      <c r="G21" s="86"/>
      <c r="H21" s="86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000"/>
  <sheetViews>
    <sheetView workbookViewId="0"/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90" t="s">
        <v>196</v>
      </c>
      <c r="B1" s="74"/>
      <c r="C1" s="74"/>
      <c r="D1" s="74"/>
      <c r="E1" s="74"/>
      <c r="F1" s="74"/>
      <c r="G1" s="74"/>
      <c r="H1" s="75"/>
    </row>
    <row r="2" spans="1:8" ht="58.5" customHeight="1" x14ac:dyDescent="0.2">
      <c r="A2" s="91" t="s">
        <v>197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50700</v>
      </c>
      <c r="D4" s="16">
        <f t="shared" ref="D4:H4" si="0">C4</f>
        <v>50700</v>
      </c>
      <c r="E4" s="16">
        <f t="shared" si="0"/>
        <v>50700</v>
      </c>
      <c r="F4" s="16">
        <f t="shared" si="0"/>
        <v>50700</v>
      </c>
      <c r="G4" s="16">
        <f t="shared" si="0"/>
        <v>50700</v>
      </c>
      <c r="H4" s="16">
        <f t="shared" si="0"/>
        <v>50700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56430</v>
      </c>
      <c r="D6" s="7">
        <f t="shared" si="1"/>
        <v>72390</v>
      </c>
      <c r="E6" s="7">
        <f t="shared" si="1"/>
        <v>80370</v>
      </c>
      <c r="F6" s="7">
        <f t="shared" si="1"/>
        <v>84360</v>
      </c>
      <c r="G6" s="7">
        <f t="shared" si="1"/>
        <v>88350</v>
      </c>
      <c r="H6" s="7">
        <f t="shared" si="1"/>
        <v>96330</v>
      </c>
    </row>
    <row r="7" spans="1:8" ht="15.75" customHeight="1" x14ac:dyDescent="0.2">
      <c r="A7" s="94"/>
      <c r="B7" s="6" t="s">
        <v>15</v>
      </c>
      <c r="C7" s="7">
        <f t="shared" ref="C7:H7" si="2">(C4-C5)</f>
        <v>29700</v>
      </c>
      <c r="D7" s="7">
        <f t="shared" si="2"/>
        <v>38100</v>
      </c>
      <c r="E7" s="7">
        <f t="shared" si="2"/>
        <v>42300</v>
      </c>
      <c r="F7" s="7">
        <f t="shared" si="2"/>
        <v>44400</v>
      </c>
      <c r="G7" s="7">
        <f t="shared" si="2"/>
        <v>46500</v>
      </c>
      <c r="H7" s="7">
        <f t="shared" si="2"/>
        <v>50700</v>
      </c>
    </row>
    <row r="8" spans="1:8" ht="15.75" customHeight="1" x14ac:dyDescent="0.2">
      <c r="A8" s="92" t="s">
        <v>16</v>
      </c>
      <c r="B8" s="3" t="s">
        <v>12</v>
      </c>
      <c r="C8" s="4">
        <v>51400</v>
      </c>
      <c r="D8" s="4">
        <f t="shared" ref="D8:H8" si="3">C8</f>
        <v>51400</v>
      </c>
      <c r="E8" s="4">
        <f t="shared" si="3"/>
        <v>51400</v>
      </c>
      <c r="F8" s="4">
        <f t="shared" si="3"/>
        <v>51400</v>
      </c>
      <c r="G8" s="4">
        <f t="shared" si="3"/>
        <v>51400</v>
      </c>
      <c r="H8" s="4">
        <f t="shared" si="3"/>
        <v>51400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57760</v>
      </c>
      <c r="D10" s="7">
        <f t="shared" si="5"/>
        <v>73720</v>
      </c>
      <c r="E10" s="7">
        <f t="shared" si="5"/>
        <v>81700</v>
      </c>
      <c r="F10" s="7">
        <f t="shared" si="5"/>
        <v>85690</v>
      </c>
      <c r="G10" s="7">
        <f t="shared" si="5"/>
        <v>89680</v>
      </c>
      <c r="H10" s="7">
        <f t="shared" si="5"/>
        <v>97660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30400</v>
      </c>
      <c r="D11" s="7">
        <f t="shared" si="6"/>
        <v>38800</v>
      </c>
      <c r="E11" s="7">
        <f t="shared" si="6"/>
        <v>43000</v>
      </c>
      <c r="F11" s="7">
        <f t="shared" si="6"/>
        <v>45100</v>
      </c>
      <c r="G11" s="7">
        <f t="shared" si="6"/>
        <v>47200</v>
      </c>
      <c r="H11" s="7">
        <f t="shared" si="6"/>
        <v>51400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53970</v>
      </c>
      <c r="D12" s="4">
        <f t="shared" ref="D12:H12" si="7">C12</f>
        <v>53970</v>
      </c>
      <c r="E12" s="4">
        <f t="shared" si="7"/>
        <v>53970</v>
      </c>
      <c r="F12" s="4">
        <f t="shared" si="7"/>
        <v>53970</v>
      </c>
      <c r="G12" s="4">
        <f t="shared" si="7"/>
        <v>53970</v>
      </c>
      <c r="H12" s="4">
        <f t="shared" si="7"/>
        <v>53970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62643</v>
      </c>
      <c r="D14" s="7">
        <f t="shared" si="9"/>
        <v>78603</v>
      </c>
      <c r="E14" s="7">
        <f t="shared" si="9"/>
        <v>86583</v>
      </c>
      <c r="F14" s="7">
        <f t="shared" si="9"/>
        <v>90573</v>
      </c>
      <c r="G14" s="7">
        <f t="shared" si="9"/>
        <v>94563</v>
      </c>
      <c r="H14" s="7">
        <f t="shared" si="9"/>
        <v>102543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32970</v>
      </c>
      <c r="D15" s="7">
        <f t="shared" si="10"/>
        <v>41370</v>
      </c>
      <c r="E15" s="7">
        <f t="shared" si="10"/>
        <v>45570</v>
      </c>
      <c r="F15" s="7">
        <f t="shared" si="10"/>
        <v>47670</v>
      </c>
      <c r="G15" s="7">
        <f t="shared" si="10"/>
        <v>49770</v>
      </c>
      <c r="H15" s="7">
        <f t="shared" si="10"/>
        <v>53970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176833</v>
      </c>
      <c r="D16" s="9">
        <f t="shared" si="11"/>
        <v>224713</v>
      </c>
      <c r="E16" s="9">
        <f t="shared" si="11"/>
        <v>248653</v>
      </c>
      <c r="F16" s="9">
        <f t="shared" si="11"/>
        <v>260623</v>
      </c>
      <c r="G16" s="9">
        <f t="shared" si="11"/>
        <v>272593</v>
      </c>
      <c r="H16" s="9">
        <f t="shared" si="11"/>
        <v>296533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10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10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81"/>
      <c r="G19" s="87"/>
      <c r="H19" s="82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84"/>
      <c r="G20" s="85"/>
      <c r="H20" s="78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C21:D21"/>
    <mergeCell ref="A22:H22"/>
    <mergeCell ref="A23:H23"/>
    <mergeCell ref="A24:H24"/>
    <mergeCell ref="A25:H25"/>
    <mergeCell ref="A20:B21"/>
    <mergeCell ref="C20:D20"/>
    <mergeCell ref="F20:H21"/>
    <mergeCell ref="A1:H1"/>
    <mergeCell ref="A2:H2"/>
    <mergeCell ref="A4:A7"/>
    <mergeCell ref="A8:A11"/>
    <mergeCell ref="A12:A15"/>
    <mergeCell ref="A16:B16"/>
    <mergeCell ref="A17:B19"/>
    <mergeCell ref="C17:D17"/>
    <mergeCell ref="F17:H19"/>
    <mergeCell ref="C18:D18"/>
    <mergeCell ref="C19:D19"/>
  </mergeCell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000"/>
  <sheetViews>
    <sheetView workbookViewId="0"/>
  </sheetViews>
  <sheetFormatPr baseColWidth="10" defaultColWidth="11.1640625" defaultRowHeight="15" customHeight="1" x14ac:dyDescent="0.2"/>
  <cols>
    <col min="1" max="5" width="10.6640625" customWidth="1"/>
    <col min="6" max="6" width="33.1640625" customWidth="1"/>
    <col min="7" max="26" width="11.1640625" customWidth="1"/>
  </cols>
  <sheetData>
    <row r="1" spans="1:6" ht="15.75" customHeight="1" x14ac:dyDescent="0.2">
      <c r="A1" s="113" t="s">
        <v>198</v>
      </c>
      <c r="B1" s="86"/>
      <c r="C1" s="86"/>
      <c r="D1" s="86"/>
      <c r="E1" s="86"/>
      <c r="F1" s="86"/>
    </row>
    <row r="2" spans="1:6" ht="38.25" customHeight="1" x14ac:dyDescent="0.2">
      <c r="A2" s="114" t="s">
        <v>199</v>
      </c>
      <c r="B2" s="87"/>
      <c r="C2" s="87"/>
      <c r="D2" s="87"/>
      <c r="E2" s="87"/>
      <c r="F2" s="87"/>
    </row>
    <row r="3" spans="1:6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162</v>
      </c>
    </row>
    <row r="4" spans="1:6" ht="15.75" customHeight="1" x14ac:dyDescent="0.2">
      <c r="A4" s="92" t="s">
        <v>11</v>
      </c>
      <c r="B4" s="3" t="s">
        <v>12</v>
      </c>
      <c r="C4" s="16">
        <v>122000</v>
      </c>
      <c r="D4" s="16">
        <f t="shared" ref="D4:F4" si="0">C4</f>
        <v>122000</v>
      </c>
      <c r="E4" s="16">
        <f t="shared" si="0"/>
        <v>122000</v>
      </c>
      <c r="F4" s="16">
        <f t="shared" si="0"/>
        <v>122000</v>
      </c>
    </row>
    <row r="5" spans="1:6" ht="15.75" customHeight="1" x14ac:dyDescent="0.2">
      <c r="A5" s="93"/>
      <c r="B5" s="3" t="s">
        <v>13</v>
      </c>
      <c r="C5" s="17">
        <v>10500</v>
      </c>
      <c r="D5" s="17">
        <v>8400</v>
      </c>
      <c r="E5" s="17">
        <v>6300</v>
      </c>
      <c r="F5" s="17">
        <v>0</v>
      </c>
    </row>
    <row r="6" spans="1:6" ht="15.75" customHeight="1" x14ac:dyDescent="0.2">
      <c r="A6" s="93"/>
      <c r="B6" s="6" t="s">
        <v>14</v>
      </c>
      <c r="C6" s="7">
        <f t="shared" ref="C6:F6" si="1">(C4-C5)*2*0.95</f>
        <v>211850</v>
      </c>
      <c r="D6" s="7">
        <f t="shared" si="1"/>
        <v>215840</v>
      </c>
      <c r="E6" s="7">
        <f t="shared" si="1"/>
        <v>219830</v>
      </c>
      <c r="F6" s="7">
        <f t="shared" si="1"/>
        <v>231800</v>
      </c>
    </row>
    <row r="7" spans="1:6" ht="15.75" customHeight="1" x14ac:dyDescent="0.2">
      <c r="A7" s="94"/>
      <c r="B7" s="6" t="s">
        <v>15</v>
      </c>
      <c r="C7" s="7">
        <f t="shared" ref="C7:F7" si="2">(C4-C5)</f>
        <v>111500</v>
      </c>
      <c r="D7" s="7">
        <f t="shared" si="2"/>
        <v>113600</v>
      </c>
      <c r="E7" s="7">
        <f t="shared" si="2"/>
        <v>115700</v>
      </c>
      <c r="F7" s="7">
        <f t="shared" si="2"/>
        <v>122000</v>
      </c>
    </row>
    <row r="8" spans="1:6" ht="15.75" customHeight="1" x14ac:dyDescent="0.2">
      <c r="A8" s="92" t="s">
        <v>16</v>
      </c>
      <c r="B8" s="3" t="s">
        <v>12</v>
      </c>
      <c r="C8" s="4">
        <v>124500</v>
      </c>
      <c r="D8" s="4">
        <f t="shared" ref="D8:F8" si="3">C8</f>
        <v>124500</v>
      </c>
      <c r="E8" s="4">
        <f t="shared" si="3"/>
        <v>124500</v>
      </c>
      <c r="F8" s="4">
        <f t="shared" si="3"/>
        <v>124500</v>
      </c>
    </row>
    <row r="9" spans="1:6" ht="15.75" customHeight="1" x14ac:dyDescent="0.2">
      <c r="A9" s="93"/>
      <c r="B9" s="3" t="s">
        <v>13</v>
      </c>
      <c r="C9" s="4">
        <f t="shared" ref="C9:F9" si="4">C5</f>
        <v>10500</v>
      </c>
      <c r="D9" s="4">
        <f t="shared" si="4"/>
        <v>8400</v>
      </c>
      <c r="E9" s="4">
        <f t="shared" si="4"/>
        <v>6300</v>
      </c>
      <c r="F9" s="4">
        <f t="shared" si="4"/>
        <v>0</v>
      </c>
    </row>
    <row r="10" spans="1:6" ht="15.75" customHeight="1" x14ac:dyDescent="0.2">
      <c r="A10" s="93"/>
      <c r="B10" s="6" t="s">
        <v>14</v>
      </c>
      <c r="C10" s="7">
        <f t="shared" ref="C10:F10" si="5">(C8-C9)*2*0.95</f>
        <v>216600</v>
      </c>
      <c r="D10" s="7">
        <f t="shared" si="5"/>
        <v>220590</v>
      </c>
      <c r="E10" s="7">
        <f t="shared" si="5"/>
        <v>224580</v>
      </c>
      <c r="F10" s="7">
        <f t="shared" si="5"/>
        <v>236550</v>
      </c>
    </row>
    <row r="11" spans="1:6" ht="15.75" customHeight="1" x14ac:dyDescent="0.2">
      <c r="A11" s="94"/>
      <c r="B11" s="6" t="s">
        <v>15</v>
      </c>
      <c r="C11" s="7">
        <f t="shared" ref="C11:F11" si="6">(C8-C9)</f>
        <v>114000</v>
      </c>
      <c r="D11" s="7">
        <f t="shared" si="6"/>
        <v>116100</v>
      </c>
      <c r="E11" s="7">
        <f t="shared" si="6"/>
        <v>118200</v>
      </c>
      <c r="F11" s="7">
        <f t="shared" si="6"/>
        <v>124500</v>
      </c>
    </row>
    <row r="12" spans="1:6" ht="15.75" customHeight="1" x14ac:dyDescent="0.2">
      <c r="A12" s="76" t="s">
        <v>19</v>
      </c>
      <c r="B12" s="75"/>
      <c r="C12" s="9">
        <f t="shared" ref="C12:F12" si="7">SUM(C6,C10)</f>
        <v>428450</v>
      </c>
      <c r="D12" s="9">
        <f t="shared" si="7"/>
        <v>436430</v>
      </c>
      <c r="E12" s="9">
        <f t="shared" si="7"/>
        <v>444410</v>
      </c>
      <c r="F12" s="9">
        <f t="shared" si="7"/>
        <v>468350</v>
      </c>
    </row>
    <row r="13" spans="1:6" ht="15.75" customHeight="1" x14ac:dyDescent="0.2">
      <c r="A13" s="77" t="s">
        <v>20</v>
      </c>
      <c r="B13" s="78"/>
      <c r="C13" s="83" t="s">
        <v>21</v>
      </c>
      <c r="D13" s="75"/>
      <c r="E13" s="10">
        <v>10000</v>
      </c>
      <c r="F13" s="144"/>
    </row>
    <row r="14" spans="1:6" ht="15.75" customHeight="1" x14ac:dyDescent="0.2">
      <c r="A14" s="79"/>
      <c r="B14" s="80"/>
      <c r="C14" s="83" t="s">
        <v>22</v>
      </c>
      <c r="D14" s="75"/>
      <c r="E14" s="10">
        <v>5000</v>
      </c>
      <c r="F14" s="93"/>
    </row>
    <row r="15" spans="1:6" ht="15.75" customHeight="1" x14ac:dyDescent="0.2">
      <c r="A15" s="81"/>
      <c r="B15" s="82"/>
      <c r="C15" s="88" t="s">
        <v>23</v>
      </c>
      <c r="D15" s="75"/>
      <c r="E15" s="10">
        <v>3000</v>
      </c>
      <c r="F15" s="93"/>
    </row>
    <row r="16" spans="1:6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93"/>
    </row>
    <row r="17" spans="1:6" ht="15.75" customHeight="1" x14ac:dyDescent="0.2">
      <c r="A17" s="81"/>
      <c r="B17" s="82"/>
      <c r="C17" s="76" t="s">
        <v>26</v>
      </c>
      <c r="D17" s="75"/>
      <c r="E17" s="3">
        <v>9750</v>
      </c>
      <c r="F17" s="94"/>
    </row>
    <row r="18" spans="1:6" ht="15.75" customHeight="1" x14ac:dyDescent="0.2">
      <c r="A18" s="73" t="s">
        <v>27</v>
      </c>
      <c r="B18" s="74"/>
      <c r="C18" s="74"/>
      <c r="D18" s="74"/>
      <c r="E18" s="74"/>
      <c r="F18" s="75"/>
    </row>
    <row r="19" spans="1:6" ht="15.75" customHeight="1" x14ac:dyDescent="0.2">
      <c r="A19" s="73" t="s">
        <v>28</v>
      </c>
      <c r="B19" s="74"/>
      <c r="C19" s="74"/>
      <c r="D19" s="74"/>
      <c r="E19" s="74"/>
      <c r="F19" s="75"/>
    </row>
    <row r="20" spans="1:6" ht="15.75" customHeight="1" x14ac:dyDescent="0.2">
      <c r="A20" s="95" t="s">
        <v>29</v>
      </c>
      <c r="B20" s="74"/>
      <c r="C20" s="74"/>
      <c r="D20" s="74"/>
      <c r="E20" s="74"/>
      <c r="F20" s="75"/>
    </row>
    <row r="21" spans="1:6" ht="15.75" customHeight="1" x14ac:dyDescent="0.2">
      <c r="A21" s="73" t="s">
        <v>30</v>
      </c>
      <c r="B21" s="74"/>
      <c r="C21" s="74"/>
      <c r="D21" s="74"/>
      <c r="E21" s="74"/>
      <c r="F21" s="75"/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F18"/>
    <mergeCell ref="A19:F19"/>
    <mergeCell ref="A20:F20"/>
    <mergeCell ref="A21:F21"/>
    <mergeCell ref="F13:F17"/>
    <mergeCell ref="C15:D15"/>
    <mergeCell ref="C13:D13"/>
    <mergeCell ref="C14:D14"/>
    <mergeCell ref="A13:B15"/>
    <mergeCell ref="A16:B17"/>
    <mergeCell ref="C16:D16"/>
    <mergeCell ref="A1:F1"/>
    <mergeCell ref="A2:F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000"/>
  <sheetViews>
    <sheetView workbookViewId="0"/>
  </sheetViews>
  <sheetFormatPr baseColWidth="10" defaultColWidth="11.1640625" defaultRowHeight="15" customHeight="1" x14ac:dyDescent="0.2"/>
  <cols>
    <col min="1" max="2" width="10.6640625" customWidth="1"/>
    <col min="3" max="3" width="16" customWidth="1"/>
    <col min="4" max="4" width="16.6640625" customWidth="1"/>
    <col min="5" max="5" width="13.5" customWidth="1"/>
    <col min="6" max="6" width="23.5" customWidth="1"/>
    <col min="7" max="26" width="11.1640625" customWidth="1"/>
  </cols>
  <sheetData>
    <row r="1" spans="1:6" ht="15.75" customHeight="1" x14ac:dyDescent="0.2">
      <c r="A1" s="90" t="s">
        <v>200</v>
      </c>
      <c r="B1" s="74"/>
      <c r="C1" s="74"/>
      <c r="D1" s="74"/>
      <c r="E1" s="74"/>
      <c r="F1" s="75"/>
    </row>
    <row r="2" spans="1:6" ht="42" customHeight="1" x14ac:dyDescent="0.2">
      <c r="A2" s="91" t="s">
        <v>201</v>
      </c>
      <c r="B2" s="74"/>
      <c r="C2" s="74"/>
      <c r="D2" s="74"/>
      <c r="E2" s="74"/>
      <c r="F2" s="75"/>
    </row>
    <row r="3" spans="1:6" ht="15.75" customHeight="1" x14ac:dyDescent="0.2">
      <c r="A3" s="39" t="s">
        <v>2</v>
      </c>
      <c r="B3" s="39" t="s">
        <v>3</v>
      </c>
      <c r="C3" s="40" t="s">
        <v>158</v>
      </c>
      <c r="D3" s="40" t="s">
        <v>159</v>
      </c>
      <c r="E3" s="40" t="s">
        <v>160</v>
      </c>
      <c r="F3" s="40" t="s">
        <v>162</v>
      </c>
    </row>
    <row r="4" spans="1:6" ht="15.75" customHeight="1" x14ac:dyDescent="0.2">
      <c r="A4" s="145" t="s">
        <v>202</v>
      </c>
      <c r="B4" s="41" t="s">
        <v>12</v>
      </c>
      <c r="C4" s="16">
        <v>39700</v>
      </c>
      <c r="D4" s="16">
        <f t="shared" ref="D4:F4" si="0">C4</f>
        <v>39700</v>
      </c>
      <c r="E4" s="16">
        <f t="shared" si="0"/>
        <v>39700</v>
      </c>
      <c r="F4" s="16">
        <f t="shared" si="0"/>
        <v>39700</v>
      </c>
    </row>
    <row r="5" spans="1:6" ht="15.75" customHeight="1" x14ac:dyDescent="0.2">
      <c r="A5" s="93"/>
      <c r="B5" s="41" t="s">
        <v>13</v>
      </c>
      <c r="C5" s="17">
        <v>7000</v>
      </c>
      <c r="D5" s="17">
        <v>6000</v>
      </c>
      <c r="E5" s="17">
        <v>5000</v>
      </c>
      <c r="F5" s="17">
        <v>0</v>
      </c>
    </row>
    <row r="6" spans="1:6" ht="15.75" customHeight="1" x14ac:dyDescent="0.2">
      <c r="A6" s="93"/>
      <c r="B6" s="42" t="s">
        <v>14</v>
      </c>
      <c r="C6" s="7">
        <f t="shared" ref="C6:F6" si="1">(C4-C5)*2*0.95</f>
        <v>62130</v>
      </c>
      <c r="D6" s="7">
        <f t="shared" si="1"/>
        <v>64030</v>
      </c>
      <c r="E6" s="7">
        <f t="shared" si="1"/>
        <v>65930</v>
      </c>
      <c r="F6" s="7">
        <f t="shared" si="1"/>
        <v>75430</v>
      </c>
    </row>
    <row r="7" spans="1:6" ht="15.75" customHeight="1" x14ac:dyDescent="0.2">
      <c r="A7" s="94"/>
      <c r="B7" s="42" t="s">
        <v>15</v>
      </c>
      <c r="C7" s="7">
        <f t="shared" ref="C7:F7" si="2">(C4-C5)</f>
        <v>32700</v>
      </c>
      <c r="D7" s="7">
        <f t="shared" si="2"/>
        <v>33700</v>
      </c>
      <c r="E7" s="7">
        <f t="shared" si="2"/>
        <v>34700</v>
      </c>
      <c r="F7" s="7">
        <f t="shared" si="2"/>
        <v>39700</v>
      </c>
    </row>
    <row r="8" spans="1:6" ht="15.75" customHeight="1" x14ac:dyDescent="0.2">
      <c r="A8" s="146" t="s">
        <v>19</v>
      </c>
      <c r="B8" s="75"/>
      <c r="C8" s="43">
        <f t="shared" ref="C8:F8" si="3">SUM(C6)</f>
        <v>62130</v>
      </c>
      <c r="D8" s="43">
        <f t="shared" si="3"/>
        <v>64030</v>
      </c>
      <c r="E8" s="43">
        <f t="shared" si="3"/>
        <v>65930</v>
      </c>
      <c r="F8" s="43">
        <f t="shared" si="3"/>
        <v>75430</v>
      </c>
    </row>
    <row r="9" spans="1:6" ht="15.75" customHeight="1" x14ac:dyDescent="0.2">
      <c r="A9" s="150" t="s">
        <v>20</v>
      </c>
      <c r="B9" s="78"/>
      <c r="C9" s="147" t="s">
        <v>21</v>
      </c>
      <c r="D9" s="75"/>
      <c r="E9" s="10">
        <v>10000</v>
      </c>
      <c r="F9" s="148"/>
    </row>
    <row r="10" spans="1:6" ht="15.75" customHeight="1" x14ac:dyDescent="0.2">
      <c r="A10" s="79"/>
      <c r="B10" s="80"/>
      <c r="C10" s="147" t="s">
        <v>22</v>
      </c>
      <c r="D10" s="75"/>
      <c r="E10" s="10">
        <v>5000</v>
      </c>
      <c r="F10" s="93"/>
    </row>
    <row r="11" spans="1:6" ht="15.75" customHeight="1" x14ac:dyDescent="0.2">
      <c r="A11" s="79"/>
      <c r="B11" s="80"/>
      <c r="C11" s="149" t="s">
        <v>23</v>
      </c>
      <c r="D11" s="75"/>
      <c r="E11" s="44">
        <v>3000</v>
      </c>
      <c r="F11" s="93"/>
    </row>
    <row r="12" spans="1:6" ht="15.75" customHeight="1" x14ac:dyDescent="0.2">
      <c r="A12" s="79"/>
      <c r="B12" s="80"/>
      <c r="C12" s="147" t="s">
        <v>203</v>
      </c>
      <c r="D12" s="75"/>
      <c r="E12" s="44">
        <v>1000</v>
      </c>
      <c r="F12" s="93"/>
    </row>
    <row r="13" spans="1:6" ht="15.75" customHeight="1" x14ac:dyDescent="0.2">
      <c r="A13" s="79"/>
      <c r="B13" s="80"/>
      <c r="C13" s="147" t="s">
        <v>204</v>
      </c>
      <c r="D13" s="75"/>
      <c r="E13" s="44">
        <v>3000</v>
      </c>
      <c r="F13" s="93"/>
    </row>
    <row r="14" spans="1:6" ht="15.75" customHeight="1" x14ac:dyDescent="0.2">
      <c r="A14" s="81"/>
      <c r="B14" s="82"/>
      <c r="C14" s="149" t="s">
        <v>205</v>
      </c>
      <c r="D14" s="75"/>
      <c r="E14" s="44">
        <v>500</v>
      </c>
      <c r="F14" s="93"/>
    </row>
    <row r="15" spans="1:6" ht="15.75" customHeight="1" x14ac:dyDescent="0.2">
      <c r="A15" s="89" t="s">
        <v>24</v>
      </c>
      <c r="B15" s="78"/>
      <c r="C15" s="76" t="s">
        <v>25</v>
      </c>
      <c r="D15" s="75"/>
      <c r="E15" s="3">
        <v>18500</v>
      </c>
      <c r="F15" s="93"/>
    </row>
    <row r="16" spans="1:6" ht="15.75" customHeight="1" x14ac:dyDescent="0.2">
      <c r="A16" s="81"/>
      <c r="B16" s="82"/>
      <c r="C16" s="76" t="s">
        <v>26</v>
      </c>
      <c r="D16" s="75"/>
      <c r="E16" s="3">
        <v>9750</v>
      </c>
      <c r="F16" s="94"/>
    </row>
    <row r="17" spans="1:6" ht="15.75" customHeight="1" x14ac:dyDescent="0.2">
      <c r="A17" s="95" t="s">
        <v>27</v>
      </c>
      <c r="B17" s="74"/>
      <c r="C17" s="74"/>
      <c r="D17" s="74"/>
      <c r="E17" s="74"/>
      <c r="F17" s="75"/>
    </row>
    <row r="18" spans="1:6" ht="15.75" customHeight="1" x14ac:dyDescent="0.2">
      <c r="A18" s="95" t="s">
        <v>28</v>
      </c>
      <c r="B18" s="74"/>
      <c r="C18" s="74"/>
      <c r="D18" s="74"/>
      <c r="E18" s="74"/>
      <c r="F18" s="75"/>
    </row>
    <row r="19" spans="1:6" ht="15.75" customHeight="1" x14ac:dyDescent="0.2">
      <c r="A19" s="95" t="s">
        <v>29</v>
      </c>
      <c r="B19" s="74"/>
      <c r="C19" s="74"/>
      <c r="D19" s="74"/>
      <c r="E19" s="74"/>
      <c r="F19" s="75"/>
    </row>
    <row r="20" spans="1:6" ht="15.75" customHeight="1" x14ac:dyDescent="0.2">
      <c r="A20" s="95" t="s">
        <v>30</v>
      </c>
      <c r="B20" s="74"/>
      <c r="C20" s="74"/>
      <c r="D20" s="74"/>
      <c r="E20" s="74"/>
      <c r="F20" s="75"/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C12:D12"/>
    <mergeCell ref="C13:D13"/>
    <mergeCell ref="A9:B14"/>
    <mergeCell ref="A19:F19"/>
    <mergeCell ref="A20:F20"/>
    <mergeCell ref="A17:F17"/>
    <mergeCell ref="A18:F18"/>
    <mergeCell ref="A1:F1"/>
    <mergeCell ref="A2:F2"/>
    <mergeCell ref="A4:A7"/>
    <mergeCell ref="A8:B8"/>
    <mergeCell ref="C9:D9"/>
    <mergeCell ref="F9:F16"/>
    <mergeCell ref="C14:D14"/>
    <mergeCell ref="A15:B16"/>
    <mergeCell ref="C15:D15"/>
    <mergeCell ref="C16:D16"/>
    <mergeCell ref="C10:D10"/>
    <mergeCell ref="C11:D11"/>
  </mergeCell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000"/>
  <sheetViews>
    <sheetView workbookViewId="0">
      <selection sqref="A1:G1"/>
    </sheetView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90" t="s">
        <v>206</v>
      </c>
      <c r="B1" s="74"/>
      <c r="C1" s="74"/>
      <c r="D1" s="74"/>
      <c r="E1" s="74"/>
      <c r="F1" s="74"/>
      <c r="G1" s="75"/>
    </row>
    <row r="2" spans="1:7" ht="51.75" customHeight="1" x14ac:dyDescent="0.2">
      <c r="A2" s="91" t="s">
        <v>207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93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95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90" t="s">
        <v>209</v>
      </c>
      <c r="B1" s="74"/>
      <c r="C1" s="74"/>
      <c r="D1" s="74"/>
      <c r="E1" s="74"/>
      <c r="F1" s="74"/>
      <c r="G1" s="75"/>
    </row>
    <row r="2" spans="1:7" ht="48" customHeight="1" x14ac:dyDescent="0.2">
      <c r="A2" s="96" t="s">
        <v>210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93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90" t="s">
        <v>211</v>
      </c>
      <c r="B1" s="74"/>
      <c r="C1" s="74"/>
      <c r="D1" s="74"/>
      <c r="E1" s="74"/>
      <c r="F1" s="74"/>
      <c r="G1" s="75"/>
    </row>
    <row r="2" spans="1:7" ht="53.25" customHeight="1" x14ac:dyDescent="0.2">
      <c r="A2" s="91" t="s">
        <v>212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93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000"/>
  <sheetViews>
    <sheetView workbookViewId="0"/>
  </sheetViews>
  <sheetFormatPr baseColWidth="10" defaultColWidth="11.1640625" defaultRowHeight="15" customHeight="1" x14ac:dyDescent="0.2"/>
  <cols>
    <col min="1" max="5" width="10.6640625" customWidth="1"/>
    <col min="6" max="6" width="19.6640625" customWidth="1"/>
    <col min="7" max="7" width="26.6640625" customWidth="1"/>
    <col min="8" max="26" width="11.1640625" customWidth="1"/>
  </cols>
  <sheetData>
    <row r="1" spans="1:7" ht="15.75" customHeight="1" x14ac:dyDescent="0.2">
      <c r="A1" s="90" t="s">
        <v>213</v>
      </c>
      <c r="B1" s="74"/>
      <c r="C1" s="74"/>
      <c r="D1" s="74"/>
      <c r="E1" s="74"/>
      <c r="F1" s="74"/>
      <c r="G1" s="75"/>
    </row>
    <row r="2" spans="1:7" ht="47.25" customHeight="1" x14ac:dyDescent="0.2">
      <c r="A2" s="91" t="s">
        <v>214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G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</row>
    <row r="5" spans="1:7" ht="15.75" customHeight="1" x14ac:dyDescent="0.2">
      <c r="A5" s="93"/>
      <c r="B5" s="3" t="s">
        <v>13</v>
      </c>
      <c r="C5" s="17">
        <v>10000</v>
      </c>
      <c r="D5" s="17">
        <v>8000</v>
      </c>
      <c r="E5" s="17">
        <v>6000</v>
      </c>
      <c r="F5" s="17">
        <v>4000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105830</v>
      </c>
      <c r="D6" s="7">
        <f t="shared" si="1"/>
        <v>109630</v>
      </c>
      <c r="E6" s="7">
        <f t="shared" si="1"/>
        <v>113430</v>
      </c>
      <c r="F6" s="7">
        <f t="shared" si="1"/>
        <v>117230</v>
      </c>
      <c r="G6" s="7">
        <f t="shared" si="1"/>
        <v>124830</v>
      </c>
    </row>
    <row r="7" spans="1:7" ht="15.75" customHeight="1" x14ac:dyDescent="0.2">
      <c r="A7" s="94"/>
      <c r="B7" s="6" t="s">
        <v>15</v>
      </c>
      <c r="C7" s="7">
        <f t="shared" ref="C7:G7" si="2">(C4-C5)</f>
        <v>55700</v>
      </c>
      <c r="D7" s="7">
        <f t="shared" si="2"/>
        <v>57700</v>
      </c>
      <c r="E7" s="7">
        <f t="shared" si="2"/>
        <v>59700</v>
      </c>
      <c r="F7" s="7">
        <f t="shared" si="2"/>
        <v>61700</v>
      </c>
      <c r="G7" s="7">
        <f t="shared" si="2"/>
        <v>65700</v>
      </c>
    </row>
    <row r="8" spans="1:7" ht="15.75" customHeight="1" x14ac:dyDescent="0.2">
      <c r="A8" s="92" t="s">
        <v>16</v>
      </c>
      <c r="B8" s="3" t="s">
        <v>12</v>
      </c>
      <c r="C8" s="4">
        <v>67150</v>
      </c>
      <c r="D8" s="4">
        <f t="shared" ref="D8:G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</row>
    <row r="9" spans="1:7" ht="15.75" customHeight="1" x14ac:dyDescent="0.2">
      <c r="A9" s="93"/>
      <c r="B9" s="3" t="s">
        <v>13</v>
      </c>
      <c r="C9" s="4">
        <f t="shared" ref="C9:G9" si="4">C5</f>
        <v>10000</v>
      </c>
      <c r="D9" s="4">
        <f t="shared" si="4"/>
        <v>8000</v>
      </c>
      <c r="E9" s="4">
        <f t="shared" si="4"/>
        <v>6000</v>
      </c>
      <c r="F9" s="4">
        <f t="shared" si="4"/>
        <v>4000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108585</v>
      </c>
      <c r="D10" s="7">
        <f t="shared" si="5"/>
        <v>112385</v>
      </c>
      <c r="E10" s="7">
        <f t="shared" si="5"/>
        <v>116185</v>
      </c>
      <c r="F10" s="7">
        <f t="shared" si="5"/>
        <v>119985</v>
      </c>
      <c r="G10" s="7">
        <f t="shared" si="5"/>
        <v>127585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57150</v>
      </c>
      <c r="D11" s="7">
        <f t="shared" si="6"/>
        <v>59150</v>
      </c>
      <c r="E11" s="7">
        <f t="shared" si="6"/>
        <v>61150</v>
      </c>
      <c r="F11" s="7">
        <f t="shared" si="6"/>
        <v>63150</v>
      </c>
      <c r="G11" s="7">
        <f t="shared" si="6"/>
        <v>67150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214415</v>
      </c>
      <c r="D12" s="9">
        <f t="shared" si="7"/>
        <v>222015</v>
      </c>
      <c r="E12" s="9">
        <f t="shared" si="7"/>
        <v>229615</v>
      </c>
      <c r="F12" s="9">
        <f t="shared" si="7"/>
        <v>237215</v>
      </c>
      <c r="G12" s="9">
        <f t="shared" si="7"/>
        <v>252415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14" customWidth="1"/>
    <col min="2" max="2" width="16.6640625" customWidth="1"/>
    <col min="3" max="5" width="10.6640625" customWidth="1"/>
    <col min="6" max="6" width="14.6640625" customWidth="1"/>
    <col min="7" max="7" width="24.33203125" customWidth="1"/>
    <col min="8" max="26" width="11.1640625" customWidth="1"/>
  </cols>
  <sheetData>
    <row r="1" spans="1:7" ht="15.75" customHeight="1" x14ac:dyDescent="0.2">
      <c r="A1" s="90" t="s">
        <v>215</v>
      </c>
      <c r="B1" s="74"/>
      <c r="C1" s="74"/>
      <c r="D1" s="74"/>
      <c r="E1" s="74"/>
      <c r="F1" s="74"/>
      <c r="G1" s="75"/>
    </row>
    <row r="2" spans="1:7" ht="33" customHeight="1" x14ac:dyDescent="0.2">
      <c r="A2" s="91" t="s">
        <v>216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93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20900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10950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14" customWidth="1"/>
    <col min="2" max="2" width="16.6640625" customWidth="1"/>
    <col min="3" max="5" width="10.6640625" customWidth="1"/>
    <col min="6" max="6" width="14.6640625" customWidth="1"/>
    <col min="7" max="7" width="24.33203125" customWidth="1"/>
    <col min="8" max="26" width="11.1640625" customWidth="1"/>
  </cols>
  <sheetData>
    <row r="1" spans="1:7" ht="15.75" customHeight="1" x14ac:dyDescent="0.2">
      <c r="A1" s="90" t="s">
        <v>217</v>
      </c>
      <c r="B1" s="74"/>
      <c r="C1" s="74"/>
      <c r="D1" s="74"/>
      <c r="E1" s="74"/>
      <c r="F1" s="74"/>
      <c r="G1" s="75"/>
    </row>
    <row r="2" spans="1:7" ht="33" customHeight="1" x14ac:dyDescent="0.2">
      <c r="A2" s="91" t="s">
        <v>218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G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</row>
    <row r="5" spans="1:7" ht="15.75" customHeight="1" x14ac:dyDescent="0.2">
      <c r="A5" s="93"/>
      <c r="B5" s="3" t="s">
        <v>13</v>
      </c>
      <c r="C5" s="17">
        <v>10000</v>
      </c>
      <c r="D5" s="17">
        <v>8000</v>
      </c>
      <c r="E5" s="17">
        <v>6000</v>
      </c>
      <c r="F5" s="17">
        <v>4000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105830</v>
      </c>
      <c r="D6" s="7">
        <f t="shared" si="1"/>
        <v>109630</v>
      </c>
      <c r="E6" s="7">
        <f t="shared" si="1"/>
        <v>113430</v>
      </c>
      <c r="F6" s="7">
        <f t="shared" si="1"/>
        <v>117230</v>
      </c>
      <c r="G6" s="7">
        <f t="shared" si="1"/>
        <v>124830</v>
      </c>
    </row>
    <row r="7" spans="1:7" ht="15.75" customHeight="1" x14ac:dyDescent="0.2">
      <c r="A7" s="94"/>
      <c r="B7" s="6" t="s">
        <v>15</v>
      </c>
      <c r="C7" s="7">
        <f t="shared" ref="C7:G7" si="2">(C4-C5)</f>
        <v>55700</v>
      </c>
      <c r="D7" s="7">
        <f t="shared" si="2"/>
        <v>57700</v>
      </c>
      <c r="E7" s="7">
        <f t="shared" si="2"/>
        <v>59700</v>
      </c>
      <c r="F7" s="7">
        <f t="shared" si="2"/>
        <v>61700</v>
      </c>
      <c r="G7" s="7">
        <f t="shared" si="2"/>
        <v>65700</v>
      </c>
    </row>
    <row r="8" spans="1:7" ht="15.75" customHeight="1" x14ac:dyDescent="0.2">
      <c r="A8" s="92" t="s">
        <v>16</v>
      </c>
      <c r="B8" s="3" t="s">
        <v>12</v>
      </c>
      <c r="C8" s="4">
        <v>67150</v>
      </c>
      <c r="D8" s="4">
        <f t="shared" ref="D8:G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</row>
    <row r="9" spans="1:7" ht="15.75" customHeight="1" x14ac:dyDescent="0.2">
      <c r="A9" s="93"/>
      <c r="B9" s="3" t="s">
        <v>13</v>
      </c>
      <c r="C9" s="4">
        <f t="shared" ref="C9:G9" si="4">C5</f>
        <v>10000</v>
      </c>
      <c r="D9" s="4">
        <f t="shared" si="4"/>
        <v>8000</v>
      </c>
      <c r="E9" s="4">
        <f t="shared" si="4"/>
        <v>6000</v>
      </c>
      <c r="F9" s="4">
        <f t="shared" si="4"/>
        <v>4000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108585</v>
      </c>
      <c r="D10" s="7">
        <f t="shared" si="5"/>
        <v>112385</v>
      </c>
      <c r="E10" s="7">
        <f t="shared" si="5"/>
        <v>116185</v>
      </c>
      <c r="F10" s="7">
        <f t="shared" si="5"/>
        <v>119985</v>
      </c>
      <c r="G10" s="7">
        <f t="shared" si="5"/>
        <v>127585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57150</v>
      </c>
      <c r="D11" s="7">
        <f t="shared" si="6"/>
        <v>59150</v>
      </c>
      <c r="E11" s="7">
        <f t="shared" si="6"/>
        <v>61150</v>
      </c>
      <c r="F11" s="7">
        <f t="shared" si="6"/>
        <v>63150</v>
      </c>
      <c r="G11" s="7">
        <f t="shared" si="6"/>
        <v>67150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214415</v>
      </c>
      <c r="D12" s="9">
        <f t="shared" si="7"/>
        <v>222015</v>
      </c>
      <c r="E12" s="9">
        <f t="shared" si="7"/>
        <v>229615</v>
      </c>
      <c r="F12" s="9">
        <f t="shared" si="7"/>
        <v>237215</v>
      </c>
      <c r="G12" s="9">
        <f t="shared" si="7"/>
        <v>252415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14" customWidth="1"/>
    <col min="2" max="2" width="16.6640625" customWidth="1"/>
    <col min="3" max="5" width="10.6640625" customWidth="1"/>
    <col min="6" max="6" width="14.6640625" customWidth="1"/>
    <col min="7" max="7" width="24.33203125" customWidth="1"/>
    <col min="8" max="26" width="11.1640625" customWidth="1"/>
  </cols>
  <sheetData>
    <row r="1" spans="1:7" ht="15.75" customHeight="1" x14ac:dyDescent="0.2">
      <c r="A1" s="90" t="s">
        <v>219</v>
      </c>
      <c r="B1" s="74"/>
      <c r="C1" s="74"/>
      <c r="D1" s="74"/>
      <c r="E1" s="74"/>
      <c r="F1" s="74"/>
      <c r="G1" s="75"/>
    </row>
    <row r="2" spans="1:7" ht="33" customHeight="1" x14ac:dyDescent="0.2">
      <c r="A2" s="91" t="s">
        <v>220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G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</row>
    <row r="5" spans="1:7" ht="15.75" customHeight="1" x14ac:dyDescent="0.2">
      <c r="A5" s="93"/>
      <c r="B5" s="3" t="s">
        <v>13</v>
      </c>
      <c r="C5" s="17">
        <v>10000</v>
      </c>
      <c r="D5" s="17">
        <v>8000</v>
      </c>
      <c r="E5" s="17">
        <v>6000</v>
      </c>
      <c r="F5" s="17">
        <v>4000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105830</v>
      </c>
      <c r="D6" s="7">
        <f t="shared" si="1"/>
        <v>109630</v>
      </c>
      <c r="E6" s="7">
        <f t="shared" si="1"/>
        <v>113430</v>
      </c>
      <c r="F6" s="7">
        <f t="shared" si="1"/>
        <v>117230</v>
      </c>
      <c r="G6" s="7">
        <f t="shared" si="1"/>
        <v>124830</v>
      </c>
    </row>
    <row r="7" spans="1:7" ht="15.75" customHeight="1" x14ac:dyDescent="0.2">
      <c r="A7" s="94"/>
      <c r="B7" s="6" t="s">
        <v>15</v>
      </c>
      <c r="C7" s="7">
        <f t="shared" ref="C7:G7" si="2">(C4-C5)</f>
        <v>55700</v>
      </c>
      <c r="D7" s="7">
        <f t="shared" si="2"/>
        <v>57700</v>
      </c>
      <c r="E7" s="7">
        <f t="shared" si="2"/>
        <v>59700</v>
      </c>
      <c r="F7" s="7">
        <f t="shared" si="2"/>
        <v>61700</v>
      </c>
      <c r="G7" s="7">
        <f t="shared" si="2"/>
        <v>65700</v>
      </c>
    </row>
    <row r="8" spans="1:7" ht="15.75" customHeight="1" x14ac:dyDescent="0.2">
      <c r="A8" s="92" t="s">
        <v>16</v>
      </c>
      <c r="B8" s="3" t="s">
        <v>12</v>
      </c>
      <c r="C8" s="4">
        <v>67150</v>
      </c>
      <c r="D8" s="4">
        <f t="shared" ref="D8:G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</row>
    <row r="9" spans="1:7" ht="15.75" customHeight="1" x14ac:dyDescent="0.2">
      <c r="A9" s="93"/>
      <c r="B9" s="3" t="s">
        <v>13</v>
      </c>
      <c r="C9" s="4">
        <f t="shared" ref="C9:G9" si="4">C5</f>
        <v>10000</v>
      </c>
      <c r="D9" s="4">
        <f t="shared" si="4"/>
        <v>8000</v>
      </c>
      <c r="E9" s="4">
        <f t="shared" si="4"/>
        <v>6000</v>
      </c>
      <c r="F9" s="4">
        <f t="shared" si="4"/>
        <v>4000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108585</v>
      </c>
      <c r="D10" s="7">
        <f t="shared" si="5"/>
        <v>112385</v>
      </c>
      <c r="E10" s="7">
        <f t="shared" si="5"/>
        <v>116185</v>
      </c>
      <c r="F10" s="7">
        <f t="shared" si="5"/>
        <v>119985</v>
      </c>
      <c r="G10" s="7">
        <f t="shared" si="5"/>
        <v>127585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57150</v>
      </c>
      <c r="D11" s="7">
        <f t="shared" si="6"/>
        <v>59150</v>
      </c>
      <c r="E11" s="7">
        <f t="shared" si="6"/>
        <v>61150</v>
      </c>
      <c r="F11" s="7">
        <f t="shared" si="6"/>
        <v>63150</v>
      </c>
      <c r="G11" s="7">
        <f t="shared" si="6"/>
        <v>67150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214415</v>
      </c>
      <c r="D12" s="9">
        <f t="shared" si="7"/>
        <v>222015</v>
      </c>
      <c r="E12" s="9">
        <f t="shared" si="7"/>
        <v>229615</v>
      </c>
      <c r="F12" s="9">
        <f t="shared" si="7"/>
        <v>237215</v>
      </c>
      <c r="G12" s="9">
        <f t="shared" si="7"/>
        <v>252415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1000"/>
  <sheetViews>
    <sheetView workbookViewId="0"/>
  </sheetViews>
  <sheetFormatPr baseColWidth="10" defaultColWidth="11.1640625" defaultRowHeight="15" customHeight="1" x14ac:dyDescent="0.2"/>
  <cols>
    <col min="1" max="4" width="10.6640625" customWidth="1"/>
    <col min="5" max="5" width="15.6640625" customWidth="1"/>
    <col min="6" max="6" width="16.6640625" customWidth="1"/>
    <col min="7" max="7" width="18.6640625" customWidth="1"/>
    <col min="8" max="26" width="11.1640625" customWidth="1"/>
  </cols>
  <sheetData>
    <row r="1" spans="1:7" ht="15.75" customHeight="1" x14ac:dyDescent="0.2">
      <c r="A1" s="90" t="s">
        <v>221</v>
      </c>
      <c r="B1" s="74"/>
      <c r="C1" s="74"/>
      <c r="D1" s="74"/>
      <c r="E1" s="74"/>
      <c r="F1" s="74"/>
      <c r="G1" s="75"/>
    </row>
    <row r="2" spans="1:7" ht="35.25" customHeight="1" x14ac:dyDescent="0.2">
      <c r="A2" s="91" t="s">
        <v>222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77000</v>
      </c>
      <c r="D4" s="16">
        <f t="shared" ref="D4:G4" si="0">C4</f>
        <v>77000</v>
      </c>
      <c r="E4" s="16">
        <f t="shared" si="0"/>
        <v>77000</v>
      </c>
      <c r="F4" s="16">
        <f t="shared" si="0"/>
        <v>77000</v>
      </c>
      <c r="G4" s="16">
        <f t="shared" si="0"/>
        <v>77000</v>
      </c>
    </row>
    <row r="5" spans="1:7" ht="15.75" customHeight="1" x14ac:dyDescent="0.2">
      <c r="A5" s="93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130340</v>
      </c>
      <c r="D6" s="7">
        <f t="shared" si="1"/>
        <v>134330</v>
      </c>
      <c r="E6" s="7">
        <f t="shared" si="1"/>
        <v>138320</v>
      </c>
      <c r="F6" s="7">
        <f t="shared" si="1"/>
        <v>142500</v>
      </c>
      <c r="G6" s="7">
        <f t="shared" si="1"/>
        <v>146300</v>
      </c>
    </row>
    <row r="7" spans="1:7" ht="15.75" customHeight="1" x14ac:dyDescent="0.2">
      <c r="A7" s="94"/>
      <c r="B7" s="6" t="s">
        <v>15</v>
      </c>
      <c r="C7" s="7">
        <f t="shared" ref="C7:G7" si="2">(C4-C5)</f>
        <v>68600</v>
      </c>
      <c r="D7" s="7">
        <f t="shared" si="2"/>
        <v>70700</v>
      </c>
      <c r="E7" s="7">
        <f t="shared" si="2"/>
        <v>72800</v>
      </c>
      <c r="F7" s="7">
        <f t="shared" si="2"/>
        <v>75000</v>
      </c>
      <c r="G7" s="7">
        <f t="shared" si="2"/>
        <v>77000</v>
      </c>
    </row>
    <row r="8" spans="1:7" ht="15.75" customHeight="1" x14ac:dyDescent="0.2">
      <c r="A8" s="92" t="s">
        <v>16</v>
      </c>
      <c r="B8" s="3" t="s">
        <v>12</v>
      </c>
      <c r="C8" s="4">
        <v>79500</v>
      </c>
      <c r="D8" s="4">
        <f t="shared" ref="D8:G8" si="3">C8</f>
        <v>79500</v>
      </c>
      <c r="E8" s="4">
        <f t="shared" si="3"/>
        <v>79500</v>
      </c>
      <c r="F8" s="4">
        <f t="shared" si="3"/>
        <v>79500</v>
      </c>
      <c r="G8" s="4">
        <f t="shared" si="3"/>
        <v>79500</v>
      </c>
    </row>
    <row r="9" spans="1:7" ht="15.75" customHeight="1" x14ac:dyDescent="0.2">
      <c r="A9" s="93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135090</v>
      </c>
      <c r="D10" s="7">
        <f t="shared" si="5"/>
        <v>139080</v>
      </c>
      <c r="E10" s="7">
        <f t="shared" si="5"/>
        <v>143070</v>
      </c>
      <c r="F10" s="7">
        <f t="shared" si="5"/>
        <v>147250</v>
      </c>
      <c r="G10" s="7">
        <f t="shared" si="5"/>
        <v>151050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71100</v>
      </c>
      <c r="D11" s="7">
        <f t="shared" si="6"/>
        <v>73200</v>
      </c>
      <c r="E11" s="7">
        <f t="shared" si="6"/>
        <v>75300</v>
      </c>
      <c r="F11" s="7">
        <f t="shared" si="6"/>
        <v>77500</v>
      </c>
      <c r="G11" s="7">
        <f t="shared" si="6"/>
        <v>79500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265430</v>
      </c>
      <c r="D12" s="9">
        <f t="shared" si="7"/>
        <v>273410</v>
      </c>
      <c r="E12" s="9">
        <f t="shared" si="7"/>
        <v>281390</v>
      </c>
      <c r="F12" s="9">
        <f t="shared" si="7"/>
        <v>289750</v>
      </c>
      <c r="G12" s="9">
        <f t="shared" si="7"/>
        <v>297350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1000"/>
  <sheetViews>
    <sheetView workbookViewId="0"/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90" t="s">
        <v>223</v>
      </c>
      <c r="B1" s="74"/>
      <c r="C1" s="74"/>
      <c r="D1" s="74"/>
      <c r="E1" s="74"/>
      <c r="F1" s="74"/>
      <c r="G1" s="75"/>
    </row>
    <row r="2" spans="1:7" ht="35.25" customHeight="1" x14ac:dyDescent="0.2">
      <c r="A2" s="91" t="s">
        <v>224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66700</v>
      </c>
      <c r="D4" s="16">
        <f t="shared" ref="D4:G4" si="0">C4</f>
        <v>66700</v>
      </c>
      <c r="E4" s="16">
        <f t="shared" si="0"/>
        <v>66700</v>
      </c>
      <c r="F4" s="16">
        <f t="shared" si="0"/>
        <v>66700</v>
      </c>
      <c r="G4" s="16">
        <f t="shared" si="0"/>
        <v>66700</v>
      </c>
    </row>
    <row r="5" spans="1:7" ht="15.75" customHeight="1" x14ac:dyDescent="0.2">
      <c r="A5" s="93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110770</v>
      </c>
      <c r="D6" s="7">
        <f t="shared" si="1"/>
        <v>114760</v>
      </c>
      <c r="E6" s="7">
        <f t="shared" si="1"/>
        <v>118750</v>
      </c>
      <c r="F6" s="7">
        <f t="shared" si="1"/>
        <v>122930</v>
      </c>
      <c r="G6" s="7">
        <f t="shared" si="1"/>
        <v>126730</v>
      </c>
    </row>
    <row r="7" spans="1:7" ht="15.75" customHeight="1" x14ac:dyDescent="0.2">
      <c r="A7" s="94"/>
      <c r="B7" s="6" t="s">
        <v>15</v>
      </c>
      <c r="C7" s="7">
        <f t="shared" ref="C7:G7" si="2">(C4-C5)</f>
        <v>58300</v>
      </c>
      <c r="D7" s="7">
        <f t="shared" si="2"/>
        <v>60400</v>
      </c>
      <c r="E7" s="7">
        <f t="shared" si="2"/>
        <v>62500</v>
      </c>
      <c r="F7" s="7">
        <f t="shared" si="2"/>
        <v>64700</v>
      </c>
      <c r="G7" s="7">
        <f t="shared" si="2"/>
        <v>66700</v>
      </c>
    </row>
    <row r="8" spans="1:7" ht="15.75" customHeight="1" x14ac:dyDescent="0.2">
      <c r="A8" s="92" t="s">
        <v>16</v>
      </c>
      <c r="B8" s="3" t="s">
        <v>12</v>
      </c>
      <c r="C8" s="4">
        <v>68200</v>
      </c>
      <c r="D8" s="4">
        <f t="shared" ref="D8:G8" si="3">C8</f>
        <v>68200</v>
      </c>
      <c r="E8" s="4">
        <f t="shared" si="3"/>
        <v>68200</v>
      </c>
      <c r="F8" s="4">
        <f t="shared" si="3"/>
        <v>68200</v>
      </c>
      <c r="G8" s="4">
        <f t="shared" si="3"/>
        <v>68200</v>
      </c>
    </row>
    <row r="9" spans="1:7" ht="15.75" customHeight="1" x14ac:dyDescent="0.2">
      <c r="A9" s="93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113620</v>
      </c>
      <c r="D10" s="7">
        <f t="shared" si="5"/>
        <v>117610</v>
      </c>
      <c r="E10" s="7">
        <f t="shared" si="5"/>
        <v>121600</v>
      </c>
      <c r="F10" s="7">
        <f t="shared" si="5"/>
        <v>125780</v>
      </c>
      <c r="G10" s="7">
        <f t="shared" si="5"/>
        <v>129580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59800</v>
      </c>
      <c r="D11" s="7">
        <f t="shared" si="6"/>
        <v>61900</v>
      </c>
      <c r="E11" s="7">
        <f t="shared" si="6"/>
        <v>64000</v>
      </c>
      <c r="F11" s="7">
        <f t="shared" si="6"/>
        <v>66200</v>
      </c>
      <c r="G11" s="7">
        <f t="shared" si="6"/>
        <v>68200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224390</v>
      </c>
      <c r="D12" s="9">
        <f t="shared" si="7"/>
        <v>232370</v>
      </c>
      <c r="E12" s="9">
        <f t="shared" si="7"/>
        <v>240350</v>
      </c>
      <c r="F12" s="9">
        <f t="shared" si="7"/>
        <v>248710</v>
      </c>
      <c r="G12" s="9">
        <f t="shared" si="7"/>
        <v>256310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95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95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1000"/>
  <sheetViews>
    <sheetView workbookViewId="0"/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90" t="s">
        <v>225</v>
      </c>
      <c r="B1" s="74"/>
      <c r="C1" s="74"/>
      <c r="D1" s="74"/>
      <c r="E1" s="74"/>
      <c r="F1" s="74"/>
      <c r="G1" s="75"/>
    </row>
    <row r="2" spans="1:7" ht="47.25" customHeight="1" x14ac:dyDescent="0.2">
      <c r="A2" s="91" t="s">
        <v>226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66700</v>
      </c>
      <c r="D4" s="16">
        <f t="shared" ref="D4:G4" si="0">C4</f>
        <v>66700</v>
      </c>
      <c r="E4" s="16">
        <f t="shared" si="0"/>
        <v>66700</v>
      </c>
      <c r="F4" s="16">
        <f t="shared" si="0"/>
        <v>66700</v>
      </c>
      <c r="G4" s="16">
        <f t="shared" si="0"/>
        <v>66700</v>
      </c>
    </row>
    <row r="5" spans="1:7" ht="15.75" customHeight="1" x14ac:dyDescent="0.2">
      <c r="A5" s="93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110770</v>
      </c>
      <c r="D6" s="7">
        <f t="shared" si="1"/>
        <v>114760</v>
      </c>
      <c r="E6" s="7">
        <f t="shared" si="1"/>
        <v>118750</v>
      </c>
      <c r="F6" s="7">
        <f t="shared" si="1"/>
        <v>122930</v>
      </c>
      <c r="G6" s="7">
        <f t="shared" si="1"/>
        <v>126730</v>
      </c>
    </row>
    <row r="7" spans="1:7" ht="15.75" customHeight="1" x14ac:dyDescent="0.2">
      <c r="A7" s="94"/>
      <c r="B7" s="6" t="s">
        <v>15</v>
      </c>
      <c r="C7" s="7">
        <f t="shared" ref="C7:G7" si="2">(C4-C5)</f>
        <v>58300</v>
      </c>
      <c r="D7" s="7">
        <f t="shared" si="2"/>
        <v>60400</v>
      </c>
      <c r="E7" s="7">
        <f t="shared" si="2"/>
        <v>62500</v>
      </c>
      <c r="F7" s="7">
        <f t="shared" si="2"/>
        <v>64700</v>
      </c>
      <c r="G7" s="7">
        <f t="shared" si="2"/>
        <v>66700</v>
      </c>
    </row>
    <row r="8" spans="1:7" ht="15.75" customHeight="1" x14ac:dyDescent="0.2">
      <c r="A8" s="92" t="s">
        <v>16</v>
      </c>
      <c r="B8" s="3" t="s">
        <v>12</v>
      </c>
      <c r="C8" s="4">
        <v>68200</v>
      </c>
      <c r="D8" s="4">
        <f t="shared" ref="D8:G8" si="3">C8</f>
        <v>68200</v>
      </c>
      <c r="E8" s="4">
        <f t="shared" si="3"/>
        <v>68200</v>
      </c>
      <c r="F8" s="4">
        <f t="shared" si="3"/>
        <v>68200</v>
      </c>
      <c r="G8" s="4">
        <f t="shared" si="3"/>
        <v>68200</v>
      </c>
    </row>
    <row r="9" spans="1:7" ht="15.75" customHeight="1" x14ac:dyDescent="0.2">
      <c r="A9" s="93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113620</v>
      </c>
      <c r="D10" s="7">
        <f t="shared" si="5"/>
        <v>117610</v>
      </c>
      <c r="E10" s="7">
        <f t="shared" si="5"/>
        <v>121600</v>
      </c>
      <c r="F10" s="7">
        <f t="shared" si="5"/>
        <v>125780</v>
      </c>
      <c r="G10" s="7">
        <f t="shared" si="5"/>
        <v>129580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59800</v>
      </c>
      <c r="D11" s="7">
        <f t="shared" si="6"/>
        <v>61900</v>
      </c>
      <c r="E11" s="7">
        <f t="shared" si="6"/>
        <v>64000</v>
      </c>
      <c r="F11" s="7">
        <f t="shared" si="6"/>
        <v>66200</v>
      </c>
      <c r="G11" s="7">
        <f t="shared" si="6"/>
        <v>68200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224390</v>
      </c>
      <c r="D12" s="9">
        <f t="shared" si="7"/>
        <v>232370</v>
      </c>
      <c r="E12" s="9">
        <f t="shared" si="7"/>
        <v>240350</v>
      </c>
      <c r="F12" s="9">
        <f t="shared" si="7"/>
        <v>248710</v>
      </c>
      <c r="G12" s="9">
        <f t="shared" si="7"/>
        <v>256310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81"/>
      <c r="G15" s="82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84"/>
      <c r="G16" s="78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C16:D16"/>
    <mergeCell ref="C17:D17"/>
    <mergeCell ref="A18:G18"/>
    <mergeCell ref="A19:G19"/>
    <mergeCell ref="A20:G20"/>
    <mergeCell ref="A21:G21"/>
    <mergeCell ref="A1:G1"/>
    <mergeCell ref="A2:G2"/>
    <mergeCell ref="A4:A7"/>
    <mergeCell ref="A8:A11"/>
    <mergeCell ref="A12:B12"/>
    <mergeCell ref="A13:B15"/>
    <mergeCell ref="A16:B17"/>
    <mergeCell ref="C15:D15"/>
    <mergeCell ref="F13:G15"/>
    <mergeCell ref="F16:G17"/>
    <mergeCell ref="C13:D13"/>
    <mergeCell ref="C14:D14"/>
  </mergeCells>
  <pageMargins left="0.7" right="0.7" top="0.75" bottom="0.75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1000"/>
  <sheetViews>
    <sheetView workbookViewId="0">
      <selection activeCell="J6" sqref="J6"/>
    </sheetView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90" t="s">
        <v>227</v>
      </c>
      <c r="B1" s="74"/>
      <c r="C1" s="74"/>
      <c r="D1" s="74"/>
      <c r="E1" s="74"/>
      <c r="F1" s="74"/>
      <c r="G1" s="75"/>
    </row>
    <row r="2" spans="1:7" ht="38.25" customHeight="1" x14ac:dyDescent="0.2">
      <c r="A2" s="91" t="s">
        <v>228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66700</v>
      </c>
      <c r="D4" s="16">
        <f t="shared" ref="D4:G4" si="0">C4</f>
        <v>66700</v>
      </c>
      <c r="E4" s="16">
        <f t="shared" si="0"/>
        <v>66700</v>
      </c>
      <c r="F4" s="16">
        <f t="shared" si="0"/>
        <v>66700</v>
      </c>
      <c r="G4" s="16">
        <f t="shared" si="0"/>
        <v>66700</v>
      </c>
    </row>
    <row r="5" spans="1:7" ht="15.75" customHeight="1" x14ac:dyDescent="0.2">
      <c r="A5" s="93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110770</v>
      </c>
      <c r="D6" s="7">
        <f t="shared" si="1"/>
        <v>114760</v>
      </c>
      <c r="E6" s="7">
        <f t="shared" si="1"/>
        <v>118750</v>
      </c>
      <c r="F6" s="7">
        <f t="shared" si="1"/>
        <v>122930</v>
      </c>
      <c r="G6" s="7">
        <f t="shared" si="1"/>
        <v>126730</v>
      </c>
    </row>
    <row r="7" spans="1:7" ht="15.75" customHeight="1" x14ac:dyDescent="0.2">
      <c r="A7" s="94"/>
      <c r="B7" s="6" t="s">
        <v>15</v>
      </c>
      <c r="C7" s="7">
        <f t="shared" ref="C7:G7" si="2">(C4-C5)</f>
        <v>58300</v>
      </c>
      <c r="D7" s="7">
        <f t="shared" si="2"/>
        <v>60400</v>
      </c>
      <c r="E7" s="7">
        <f t="shared" si="2"/>
        <v>62500</v>
      </c>
      <c r="F7" s="7">
        <f t="shared" si="2"/>
        <v>64700</v>
      </c>
      <c r="G7" s="7">
        <f t="shared" si="2"/>
        <v>66700</v>
      </c>
    </row>
    <row r="8" spans="1:7" ht="15.75" customHeight="1" x14ac:dyDescent="0.2">
      <c r="A8" s="92" t="s">
        <v>16</v>
      </c>
      <c r="B8" s="3" t="s">
        <v>12</v>
      </c>
      <c r="C8" s="4">
        <v>68200</v>
      </c>
      <c r="D8" s="4">
        <f t="shared" ref="D8:G8" si="3">C8</f>
        <v>68200</v>
      </c>
      <c r="E8" s="4">
        <f t="shared" si="3"/>
        <v>68200</v>
      </c>
      <c r="F8" s="4">
        <f t="shared" si="3"/>
        <v>68200</v>
      </c>
      <c r="G8" s="4">
        <f t="shared" si="3"/>
        <v>68200</v>
      </c>
    </row>
    <row r="9" spans="1:7" ht="15.75" customHeight="1" x14ac:dyDescent="0.2">
      <c r="A9" s="93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113620</v>
      </c>
      <c r="D10" s="7">
        <f t="shared" si="5"/>
        <v>117610</v>
      </c>
      <c r="E10" s="7">
        <f t="shared" si="5"/>
        <v>121600</v>
      </c>
      <c r="F10" s="7">
        <f t="shared" si="5"/>
        <v>125780</v>
      </c>
      <c r="G10" s="7">
        <f t="shared" si="5"/>
        <v>129580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59800</v>
      </c>
      <c r="D11" s="7">
        <f t="shared" si="6"/>
        <v>61900</v>
      </c>
      <c r="E11" s="7">
        <f t="shared" si="6"/>
        <v>64000</v>
      </c>
      <c r="F11" s="7">
        <f t="shared" si="6"/>
        <v>66200</v>
      </c>
      <c r="G11" s="7">
        <f t="shared" si="6"/>
        <v>68200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224390</v>
      </c>
      <c r="D12" s="9">
        <f t="shared" si="7"/>
        <v>232370</v>
      </c>
      <c r="E12" s="9">
        <f t="shared" si="7"/>
        <v>240350</v>
      </c>
      <c r="F12" s="9">
        <f t="shared" si="7"/>
        <v>248710</v>
      </c>
      <c r="G12" s="9">
        <f t="shared" si="7"/>
        <v>256310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81"/>
      <c r="G15" s="82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84"/>
      <c r="G16" s="78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C16:D16"/>
    <mergeCell ref="C17:D17"/>
    <mergeCell ref="A18:G18"/>
    <mergeCell ref="A19:G19"/>
    <mergeCell ref="A20:G20"/>
    <mergeCell ref="A21:G21"/>
    <mergeCell ref="A1:G1"/>
    <mergeCell ref="A2:G2"/>
    <mergeCell ref="A4:A7"/>
    <mergeCell ref="A8:A11"/>
    <mergeCell ref="A12:B12"/>
    <mergeCell ref="A13:B15"/>
    <mergeCell ref="A16:B17"/>
    <mergeCell ref="C15:D15"/>
    <mergeCell ref="F13:G15"/>
    <mergeCell ref="F16:G17"/>
    <mergeCell ref="C13:D13"/>
    <mergeCell ref="C14:D14"/>
  </mergeCells>
  <pageMargins left="0.7" right="0.7" top="0.75" bottom="0.75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0439-EE7E-4446-A74E-F3E2CA4311BB}">
  <dimension ref="A1:G996"/>
  <sheetViews>
    <sheetView workbookViewId="0">
      <selection activeCell="J8" sqref="J8"/>
    </sheetView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90" t="s">
        <v>206</v>
      </c>
      <c r="B1" s="74"/>
      <c r="C1" s="74"/>
      <c r="D1" s="74"/>
      <c r="E1" s="74"/>
      <c r="F1" s="74"/>
      <c r="G1" s="75"/>
    </row>
    <row r="2" spans="1:7" ht="51.75" customHeight="1" x14ac:dyDescent="0.2">
      <c r="A2" s="91" t="s">
        <v>207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93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76" t="s">
        <v>19</v>
      </c>
      <c r="B8" s="75"/>
      <c r="C8" s="9">
        <f>SUM(C6)</f>
        <v>90630</v>
      </c>
      <c r="D8" s="9">
        <f t="shared" ref="D8:G8" si="3">SUM(D6)</f>
        <v>94430</v>
      </c>
      <c r="E8" s="9">
        <f t="shared" si="3"/>
        <v>98230</v>
      </c>
      <c r="F8" s="9">
        <f t="shared" si="3"/>
        <v>101080</v>
      </c>
      <c r="G8" s="9">
        <f t="shared" si="3"/>
        <v>105830</v>
      </c>
    </row>
    <row r="9" spans="1:7" ht="15.75" customHeight="1" x14ac:dyDescent="0.2">
      <c r="A9" s="77" t="s">
        <v>20</v>
      </c>
      <c r="B9" s="78"/>
      <c r="C9" s="83" t="s">
        <v>21</v>
      </c>
      <c r="D9" s="75"/>
      <c r="E9" s="44">
        <v>10000</v>
      </c>
      <c r="F9" s="84"/>
      <c r="G9" s="78"/>
    </row>
    <row r="10" spans="1:7" ht="15.75" customHeight="1" x14ac:dyDescent="0.2">
      <c r="A10" s="79"/>
      <c r="B10" s="80"/>
      <c r="C10" s="83" t="s">
        <v>22</v>
      </c>
      <c r="D10" s="75"/>
      <c r="E10" s="44">
        <v>5000</v>
      </c>
      <c r="F10" s="79"/>
      <c r="G10" s="80"/>
    </row>
    <row r="11" spans="1:7" ht="15.75" customHeight="1" x14ac:dyDescent="0.2">
      <c r="A11" s="81"/>
      <c r="B11" s="82"/>
      <c r="C11" s="88" t="s">
        <v>23</v>
      </c>
      <c r="D11" s="75"/>
      <c r="E11" s="10">
        <v>3000</v>
      </c>
      <c r="F11" s="79"/>
      <c r="G11" s="80"/>
    </row>
    <row r="12" spans="1:7" ht="15.75" customHeight="1" x14ac:dyDescent="0.2">
      <c r="A12" s="89" t="s">
        <v>24</v>
      </c>
      <c r="B12" s="78"/>
      <c r="C12" s="76" t="s">
        <v>25</v>
      </c>
      <c r="D12" s="75"/>
      <c r="E12" s="3">
        <v>18500</v>
      </c>
      <c r="F12" s="79"/>
      <c r="G12" s="80"/>
    </row>
    <row r="13" spans="1:7" ht="15.75" customHeight="1" x14ac:dyDescent="0.2">
      <c r="A13" s="81"/>
      <c r="B13" s="82"/>
      <c r="C13" s="76" t="s">
        <v>26</v>
      </c>
      <c r="D13" s="75"/>
      <c r="E13" s="3">
        <v>9750</v>
      </c>
      <c r="F13" s="81"/>
      <c r="G13" s="82"/>
    </row>
    <row r="14" spans="1:7" ht="15.75" customHeight="1" x14ac:dyDescent="0.2">
      <c r="A14" s="73" t="s">
        <v>27</v>
      </c>
      <c r="B14" s="74"/>
      <c r="C14" s="74"/>
      <c r="D14" s="74"/>
      <c r="E14" s="74"/>
      <c r="F14" s="74"/>
      <c r="G14" s="75"/>
    </row>
    <row r="15" spans="1:7" ht="15.75" customHeight="1" x14ac:dyDescent="0.2">
      <c r="A15" s="73" t="s">
        <v>28</v>
      </c>
      <c r="B15" s="74"/>
      <c r="C15" s="74"/>
      <c r="D15" s="74"/>
      <c r="E15" s="74"/>
      <c r="F15" s="74"/>
      <c r="G15" s="75"/>
    </row>
    <row r="16" spans="1:7" ht="15.75" customHeight="1" x14ac:dyDescent="0.2">
      <c r="A16" s="95" t="s">
        <v>29</v>
      </c>
      <c r="B16" s="74"/>
      <c r="C16" s="74"/>
      <c r="D16" s="74"/>
      <c r="E16" s="74"/>
      <c r="F16" s="74"/>
      <c r="G16" s="75"/>
    </row>
    <row r="17" spans="1:7" ht="15.75" customHeight="1" x14ac:dyDescent="0.2">
      <c r="A17" s="73" t="s">
        <v>30</v>
      </c>
      <c r="B17" s="74"/>
      <c r="C17" s="74"/>
      <c r="D17" s="74"/>
      <c r="E17" s="74"/>
      <c r="F17" s="74"/>
      <c r="G17" s="75"/>
    </row>
    <row r="18" spans="1:7" ht="15.75" customHeight="1" x14ac:dyDescent="0.2"/>
    <row r="19" spans="1:7" ht="15.75" customHeight="1" x14ac:dyDescent="0.2"/>
    <row r="20" spans="1:7" ht="15.75" customHeight="1" x14ac:dyDescent="0.2"/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16">
    <mergeCell ref="A17:G17"/>
    <mergeCell ref="A12:B13"/>
    <mergeCell ref="C12:D12"/>
    <mergeCell ref="C13:D13"/>
    <mergeCell ref="A14:G14"/>
    <mergeCell ref="A15:G15"/>
    <mergeCell ref="A16:G16"/>
    <mergeCell ref="A1:G1"/>
    <mergeCell ref="A2:G2"/>
    <mergeCell ref="A4:A7"/>
    <mergeCell ref="A8:B8"/>
    <mergeCell ref="A9:B11"/>
    <mergeCell ref="C9:D9"/>
    <mergeCell ref="F9:G13"/>
    <mergeCell ref="C10:D10"/>
    <mergeCell ref="C11:D11"/>
  </mergeCells>
  <pageMargins left="0.7" right="0.7" top="0.75" bottom="0.75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1000"/>
  <sheetViews>
    <sheetView workbookViewId="0">
      <selection activeCell="A3" sqref="A3"/>
    </sheetView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90" t="s">
        <v>229</v>
      </c>
      <c r="B1" s="74"/>
      <c r="C1" s="74"/>
      <c r="D1" s="74"/>
      <c r="E1" s="74"/>
      <c r="F1" s="74"/>
      <c r="G1" s="75"/>
    </row>
    <row r="2" spans="1:7" ht="38.25" customHeight="1" x14ac:dyDescent="0.2">
      <c r="A2" s="91" t="s">
        <v>230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77000</v>
      </c>
      <c r="D4" s="16">
        <f t="shared" ref="D4:G4" si="0">C4</f>
        <v>77000</v>
      </c>
      <c r="E4" s="16">
        <f t="shared" si="0"/>
        <v>77000</v>
      </c>
      <c r="F4" s="16">
        <f t="shared" si="0"/>
        <v>77000</v>
      </c>
      <c r="G4" s="16">
        <f t="shared" si="0"/>
        <v>77000</v>
      </c>
    </row>
    <row r="5" spans="1:7" ht="15.75" customHeight="1" x14ac:dyDescent="0.2">
      <c r="A5" s="93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130340</v>
      </c>
      <c r="D6" s="7">
        <f t="shared" si="1"/>
        <v>134330</v>
      </c>
      <c r="E6" s="7">
        <f t="shared" si="1"/>
        <v>138320</v>
      </c>
      <c r="F6" s="7">
        <f t="shared" si="1"/>
        <v>142500</v>
      </c>
      <c r="G6" s="7">
        <f t="shared" si="1"/>
        <v>146300</v>
      </c>
    </row>
    <row r="7" spans="1:7" ht="15.75" customHeight="1" x14ac:dyDescent="0.2">
      <c r="A7" s="94"/>
      <c r="B7" s="6" t="s">
        <v>15</v>
      </c>
      <c r="C7" s="7">
        <f t="shared" ref="C7:G7" si="2">(C4-C5)</f>
        <v>68600</v>
      </c>
      <c r="D7" s="7">
        <f t="shared" si="2"/>
        <v>70700</v>
      </c>
      <c r="E7" s="7">
        <f t="shared" si="2"/>
        <v>72800</v>
      </c>
      <c r="F7" s="7">
        <f t="shared" si="2"/>
        <v>75000</v>
      </c>
      <c r="G7" s="7">
        <f t="shared" si="2"/>
        <v>77000</v>
      </c>
    </row>
    <row r="8" spans="1:7" ht="15.75" customHeight="1" x14ac:dyDescent="0.2">
      <c r="A8" s="92" t="s">
        <v>16</v>
      </c>
      <c r="B8" s="3" t="s">
        <v>12</v>
      </c>
      <c r="C8" s="4">
        <v>79000</v>
      </c>
      <c r="D8" s="4">
        <f t="shared" ref="D8:G8" si="3">C8</f>
        <v>79000</v>
      </c>
      <c r="E8" s="4">
        <f t="shared" si="3"/>
        <v>79000</v>
      </c>
      <c r="F8" s="4">
        <f t="shared" si="3"/>
        <v>79000</v>
      </c>
      <c r="G8" s="4">
        <f t="shared" si="3"/>
        <v>79000</v>
      </c>
    </row>
    <row r="9" spans="1:7" ht="15.75" customHeight="1" x14ac:dyDescent="0.2">
      <c r="A9" s="93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134140</v>
      </c>
      <c r="D10" s="7">
        <f t="shared" si="5"/>
        <v>138130</v>
      </c>
      <c r="E10" s="7">
        <f t="shared" si="5"/>
        <v>142120</v>
      </c>
      <c r="F10" s="7">
        <f t="shared" si="5"/>
        <v>146300</v>
      </c>
      <c r="G10" s="7">
        <f t="shared" si="5"/>
        <v>150100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70600</v>
      </c>
      <c r="D11" s="7">
        <f t="shared" si="6"/>
        <v>72700</v>
      </c>
      <c r="E11" s="7">
        <f t="shared" si="6"/>
        <v>74800</v>
      </c>
      <c r="F11" s="7">
        <f t="shared" si="6"/>
        <v>77000</v>
      </c>
      <c r="G11" s="7">
        <f t="shared" si="6"/>
        <v>79000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264480</v>
      </c>
      <c r="D12" s="9">
        <f t="shared" si="7"/>
        <v>272460</v>
      </c>
      <c r="E12" s="9">
        <f t="shared" si="7"/>
        <v>280440</v>
      </c>
      <c r="F12" s="9">
        <f t="shared" si="7"/>
        <v>288800</v>
      </c>
      <c r="G12" s="9">
        <f t="shared" si="7"/>
        <v>296400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95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95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A13:B15"/>
    <mergeCell ref="C13:D13"/>
    <mergeCell ref="F13:G17"/>
    <mergeCell ref="C14:D14"/>
    <mergeCell ref="C15:D15"/>
    <mergeCell ref="A1:G1"/>
    <mergeCell ref="A2:G2"/>
    <mergeCell ref="A4:A7"/>
    <mergeCell ref="A8:A11"/>
    <mergeCell ref="A12:B12"/>
    <mergeCell ref="A21:G21"/>
    <mergeCell ref="A16:B17"/>
    <mergeCell ref="C16:D16"/>
    <mergeCell ref="C17:D17"/>
    <mergeCell ref="A18:G18"/>
    <mergeCell ref="A19:G19"/>
    <mergeCell ref="A20:G20"/>
  </mergeCells>
  <pageMargins left="0.7" right="0.7" top="0.75" bottom="0.75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000"/>
  <sheetViews>
    <sheetView workbookViewId="0">
      <selection activeCell="L8" sqref="L8"/>
    </sheetView>
  </sheetViews>
  <sheetFormatPr baseColWidth="10" defaultColWidth="11.1640625" defaultRowHeight="15" customHeight="1" x14ac:dyDescent="0.2"/>
  <cols>
    <col min="1" max="3" width="10.6640625" customWidth="1"/>
    <col min="4" max="4" width="14.5" customWidth="1"/>
    <col min="5" max="5" width="14" customWidth="1"/>
    <col min="6" max="6" width="13" customWidth="1"/>
    <col min="7" max="7" width="16.5" customWidth="1"/>
    <col min="8" max="26" width="11.1640625" customWidth="1"/>
  </cols>
  <sheetData>
    <row r="1" spans="1:7" ht="15.75" customHeight="1" x14ac:dyDescent="0.2">
      <c r="A1" s="90" t="s">
        <v>231</v>
      </c>
      <c r="B1" s="74"/>
      <c r="C1" s="74"/>
      <c r="D1" s="74"/>
      <c r="E1" s="74"/>
      <c r="F1" s="74"/>
      <c r="G1" s="75"/>
    </row>
    <row r="2" spans="1:7" ht="38.25" customHeight="1" x14ac:dyDescent="0.2">
      <c r="A2" s="91" t="s">
        <v>232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77000</v>
      </c>
      <c r="D4" s="16">
        <f t="shared" ref="D4:G4" si="0">C4</f>
        <v>77000</v>
      </c>
      <c r="E4" s="16">
        <f t="shared" si="0"/>
        <v>77000</v>
      </c>
      <c r="F4" s="16">
        <f t="shared" si="0"/>
        <v>77000</v>
      </c>
      <c r="G4" s="16">
        <f t="shared" si="0"/>
        <v>77000</v>
      </c>
    </row>
    <row r="5" spans="1:7" ht="15.75" customHeight="1" x14ac:dyDescent="0.2">
      <c r="A5" s="93"/>
      <c r="B5" s="3" t="s">
        <v>13</v>
      </c>
      <c r="C5" s="17">
        <v>8400</v>
      </c>
      <c r="D5" s="17">
        <v>6300</v>
      </c>
      <c r="E5" s="17">
        <v>4200</v>
      </c>
      <c r="F5" s="17">
        <v>2000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130340</v>
      </c>
      <c r="D6" s="7">
        <f t="shared" si="1"/>
        <v>134330</v>
      </c>
      <c r="E6" s="7">
        <f t="shared" si="1"/>
        <v>138320</v>
      </c>
      <c r="F6" s="7">
        <f t="shared" si="1"/>
        <v>142500</v>
      </c>
      <c r="G6" s="7">
        <f t="shared" si="1"/>
        <v>146300</v>
      </c>
    </row>
    <row r="7" spans="1:7" ht="15.75" customHeight="1" x14ac:dyDescent="0.2">
      <c r="A7" s="94"/>
      <c r="B7" s="6" t="s">
        <v>15</v>
      </c>
      <c r="C7" s="7">
        <f t="shared" ref="C7:G7" si="2">(C4-C5)</f>
        <v>68600</v>
      </c>
      <c r="D7" s="7">
        <f t="shared" si="2"/>
        <v>70700</v>
      </c>
      <c r="E7" s="7">
        <f t="shared" si="2"/>
        <v>72800</v>
      </c>
      <c r="F7" s="7">
        <f t="shared" si="2"/>
        <v>75000</v>
      </c>
      <c r="G7" s="7">
        <f t="shared" si="2"/>
        <v>77000</v>
      </c>
    </row>
    <row r="8" spans="1:7" ht="15.75" customHeight="1" x14ac:dyDescent="0.2">
      <c r="A8" s="92" t="s">
        <v>16</v>
      </c>
      <c r="B8" s="3" t="s">
        <v>12</v>
      </c>
      <c r="C8" s="4">
        <v>79000</v>
      </c>
      <c r="D8" s="4">
        <f t="shared" ref="D8:G8" si="3">C8</f>
        <v>79000</v>
      </c>
      <c r="E8" s="4">
        <f t="shared" si="3"/>
        <v>79000</v>
      </c>
      <c r="F8" s="4">
        <f t="shared" si="3"/>
        <v>79000</v>
      </c>
      <c r="G8" s="4">
        <f t="shared" si="3"/>
        <v>79000</v>
      </c>
    </row>
    <row r="9" spans="1:7" ht="15.75" customHeight="1" x14ac:dyDescent="0.2">
      <c r="A9" s="93"/>
      <c r="B9" s="3" t="s">
        <v>13</v>
      </c>
      <c r="C9" s="4">
        <f t="shared" ref="C9:G9" si="4">C5</f>
        <v>8400</v>
      </c>
      <c r="D9" s="4">
        <f t="shared" si="4"/>
        <v>6300</v>
      </c>
      <c r="E9" s="4">
        <f t="shared" si="4"/>
        <v>4200</v>
      </c>
      <c r="F9" s="4">
        <f t="shared" si="4"/>
        <v>2000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134140</v>
      </c>
      <c r="D10" s="7">
        <f t="shared" si="5"/>
        <v>138130</v>
      </c>
      <c r="E10" s="7">
        <f t="shared" si="5"/>
        <v>142120</v>
      </c>
      <c r="F10" s="7">
        <f t="shared" si="5"/>
        <v>146300</v>
      </c>
      <c r="G10" s="7">
        <f t="shared" si="5"/>
        <v>150100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70600</v>
      </c>
      <c r="D11" s="7">
        <f t="shared" si="6"/>
        <v>72700</v>
      </c>
      <c r="E11" s="7">
        <f t="shared" si="6"/>
        <v>74800</v>
      </c>
      <c r="F11" s="7">
        <f t="shared" si="6"/>
        <v>77000</v>
      </c>
      <c r="G11" s="7">
        <f t="shared" si="6"/>
        <v>79000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264480</v>
      </c>
      <c r="D12" s="9">
        <f t="shared" si="7"/>
        <v>272460</v>
      </c>
      <c r="E12" s="9">
        <f t="shared" si="7"/>
        <v>280440</v>
      </c>
      <c r="F12" s="9">
        <f t="shared" si="7"/>
        <v>288800</v>
      </c>
      <c r="G12" s="9">
        <f t="shared" si="7"/>
        <v>296400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95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95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4.33203125" customWidth="1"/>
    <col min="2" max="2" width="18.1640625" customWidth="1"/>
    <col min="3" max="3" width="10.6640625" customWidth="1"/>
    <col min="4" max="4" width="16.6640625" customWidth="1"/>
    <col min="5" max="5" width="17.6640625" customWidth="1"/>
    <col min="6" max="6" width="13.33203125" customWidth="1"/>
    <col min="7" max="7" width="16" customWidth="1"/>
    <col min="8" max="8" width="17.6640625" customWidth="1"/>
    <col min="9" max="26" width="11.1640625" customWidth="1"/>
  </cols>
  <sheetData>
    <row r="1" spans="1:8" ht="15.75" customHeight="1" x14ac:dyDescent="0.2">
      <c r="A1" s="90" t="s">
        <v>233</v>
      </c>
      <c r="B1" s="74"/>
      <c r="C1" s="74"/>
      <c r="D1" s="74"/>
      <c r="E1" s="74"/>
      <c r="F1" s="74"/>
      <c r="G1" s="74"/>
      <c r="H1" s="75"/>
    </row>
    <row r="2" spans="1:8" ht="39" customHeight="1" x14ac:dyDescent="0.2">
      <c r="A2" s="91" t="s">
        <v>234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165</v>
      </c>
    </row>
    <row r="4" spans="1:8" ht="15.75" customHeight="1" x14ac:dyDescent="0.2">
      <c r="A4" s="92" t="s">
        <v>11</v>
      </c>
      <c r="B4" s="3" t="s">
        <v>12</v>
      </c>
      <c r="C4" s="16">
        <v>57700</v>
      </c>
      <c r="D4" s="16">
        <f t="shared" ref="D4:H4" si="0">C4</f>
        <v>57700</v>
      </c>
      <c r="E4" s="16">
        <f t="shared" si="0"/>
        <v>57700</v>
      </c>
      <c r="F4" s="16">
        <f t="shared" si="0"/>
        <v>57700</v>
      </c>
      <c r="G4" s="16">
        <f t="shared" si="0"/>
        <v>57700</v>
      </c>
      <c r="H4" s="16">
        <f t="shared" si="0"/>
        <v>57700</v>
      </c>
    </row>
    <row r="5" spans="1:8" ht="15.75" customHeight="1" x14ac:dyDescent="0.2">
      <c r="A5" s="93"/>
      <c r="B5" s="3" t="s">
        <v>13</v>
      </c>
      <c r="C5" s="25">
        <v>23600</v>
      </c>
      <c r="D5" s="25">
        <v>14700</v>
      </c>
      <c r="E5" s="25">
        <v>9500</v>
      </c>
      <c r="F5" s="25">
        <v>7500</v>
      </c>
      <c r="G5" s="25">
        <v>4700</v>
      </c>
      <c r="H5" s="25">
        <v>3000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64790</v>
      </c>
      <c r="D6" s="7">
        <f t="shared" si="1"/>
        <v>81700</v>
      </c>
      <c r="E6" s="7">
        <f t="shared" si="1"/>
        <v>91580</v>
      </c>
      <c r="F6" s="7">
        <f t="shared" si="1"/>
        <v>95380</v>
      </c>
      <c r="G6" s="7">
        <f t="shared" si="1"/>
        <v>100700</v>
      </c>
      <c r="H6" s="7">
        <f t="shared" si="1"/>
        <v>103930</v>
      </c>
    </row>
    <row r="7" spans="1:8" ht="15.75" customHeight="1" x14ac:dyDescent="0.2">
      <c r="A7" s="94"/>
      <c r="B7" s="6" t="s">
        <v>15</v>
      </c>
      <c r="C7" s="7">
        <f t="shared" ref="C7:H7" si="2">(C4-C5)</f>
        <v>34100</v>
      </c>
      <c r="D7" s="7">
        <f t="shared" si="2"/>
        <v>43000</v>
      </c>
      <c r="E7" s="7">
        <f t="shared" si="2"/>
        <v>48200</v>
      </c>
      <c r="F7" s="7">
        <f t="shared" si="2"/>
        <v>50200</v>
      </c>
      <c r="G7" s="7">
        <f t="shared" si="2"/>
        <v>53000</v>
      </c>
      <c r="H7" s="7">
        <f t="shared" si="2"/>
        <v>54700</v>
      </c>
    </row>
    <row r="8" spans="1:8" ht="15.75" customHeight="1" x14ac:dyDescent="0.2">
      <c r="A8" s="92" t="s">
        <v>16</v>
      </c>
      <c r="B8" s="3" t="s">
        <v>12</v>
      </c>
      <c r="C8" s="4">
        <v>58750</v>
      </c>
      <c r="D8" s="4">
        <f t="shared" ref="D8:H8" si="3">C8</f>
        <v>58750</v>
      </c>
      <c r="E8" s="4">
        <f t="shared" si="3"/>
        <v>58750</v>
      </c>
      <c r="F8" s="4">
        <f t="shared" si="3"/>
        <v>58750</v>
      </c>
      <c r="G8" s="4">
        <f t="shared" si="3"/>
        <v>58750</v>
      </c>
      <c r="H8" s="4">
        <f t="shared" si="3"/>
        <v>58750</v>
      </c>
    </row>
    <row r="9" spans="1:8" ht="15.75" customHeight="1" x14ac:dyDescent="0.2">
      <c r="A9" s="93"/>
      <c r="B9" s="3" t="s">
        <v>13</v>
      </c>
      <c r="C9" s="4">
        <f t="shared" ref="C9:H9" si="4">C5</f>
        <v>23600</v>
      </c>
      <c r="D9" s="4">
        <f t="shared" si="4"/>
        <v>14700</v>
      </c>
      <c r="E9" s="4">
        <f t="shared" si="4"/>
        <v>9500</v>
      </c>
      <c r="F9" s="4">
        <f t="shared" si="4"/>
        <v>7500</v>
      </c>
      <c r="G9" s="4">
        <f t="shared" si="4"/>
        <v>4700</v>
      </c>
      <c r="H9" s="4">
        <f t="shared" si="4"/>
        <v>3000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66785</v>
      </c>
      <c r="D10" s="7">
        <f t="shared" si="5"/>
        <v>83695</v>
      </c>
      <c r="E10" s="7">
        <f t="shared" si="5"/>
        <v>93575</v>
      </c>
      <c r="F10" s="7">
        <f t="shared" si="5"/>
        <v>97375</v>
      </c>
      <c r="G10" s="7">
        <f t="shared" si="5"/>
        <v>102695</v>
      </c>
      <c r="H10" s="7">
        <f t="shared" si="5"/>
        <v>105925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35150</v>
      </c>
      <c r="D11" s="7">
        <f t="shared" si="6"/>
        <v>44050</v>
      </c>
      <c r="E11" s="7">
        <f t="shared" si="6"/>
        <v>49250</v>
      </c>
      <c r="F11" s="7">
        <f t="shared" si="6"/>
        <v>51250</v>
      </c>
      <c r="G11" s="7">
        <f t="shared" si="6"/>
        <v>54050</v>
      </c>
      <c r="H11" s="7">
        <f t="shared" si="6"/>
        <v>55750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61687.5</v>
      </c>
      <c r="D12" s="4">
        <f t="shared" ref="D12:H12" si="7">C12</f>
        <v>61687.5</v>
      </c>
      <c r="E12" s="4">
        <f t="shared" si="7"/>
        <v>61687.5</v>
      </c>
      <c r="F12" s="4">
        <f t="shared" si="7"/>
        <v>61687.5</v>
      </c>
      <c r="G12" s="4">
        <f t="shared" si="7"/>
        <v>61687.5</v>
      </c>
      <c r="H12" s="4">
        <f t="shared" si="7"/>
        <v>61687.5</v>
      </c>
    </row>
    <row r="13" spans="1:8" ht="15.75" customHeight="1" x14ac:dyDescent="0.2">
      <c r="A13" s="93"/>
      <c r="B13" s="3" t="s">
        <v>13</v>
      </c>
      <c r="C13" s="4">
        <f t="shared" ref="C13:H13" si="8">C9</f>
        <v>23600</v>
      </c>
      <c r="D13" s="4">
        <f t="shared" si="8"/>
        <v>14700</v>
      </c>
      <c r="E13" s="4">
        <f t="shared" si="8"/>
        <v>9500</v>
      </c>
      <c r="F13" s="4">
        <f t="shared" si="8"/>
        <v>7500</v>
      </c>
      <c r="G13" s="4">
        <f t="shared" si="8"/>
        <v>4700</v>
      </c>
      <c r="H13" s="4">
        <f t="shared" si="8"/>
        <v>3000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72366.25</v>
      </c>
      <c r="D14" s="7">
        <f t="shared" si="9"/>
        <v>89276.25</v>
      </c>
      <c r="E14" s="7">
        <f t="shared" si="9"/>
        <v>99156.25</v>
      </c>
      <c r="F14" s="7">
        <f t="shared" si="9"/>
        <v>102956.25</v>
      </c>
      <c r="G14" s="7">
        <f t="shared" si="9"/>
        <v>108276.25</v>
      </c>
      <c r="H14" s="7">
        <f t="shared" si="9"/>
        <v>111506.25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38087.5</v>
      </c>
      <c r="D15" s="7">
        <f t="shared" si="10"/>
        <v>46987.5</v>
      </c>
      <c r="E15" s="7">
        <f t="shared" si="10"/>
        <v>52187.5</v>
      </c>
      <c r="F15" s="7">
        <f t="shared" si="10"/>
        <v>54187.5</v>
      </c>
      <c r="G15" s="7">
        <f t="shared" si="10"/>
        <v>56987.5</v>
      </c>
      <c r="H15" s="7">
        <f t="shared" si="10"/>
        <v>58687.5</v>
      </c>
    </row>
    <row r="16" spans="1:8" ht="15.75" customHeight="1" x14ac:dyDescent="0.2">
      <c r="A16" s="92" t="s">
        <v>235</v>
      </c>
      <c r="B16" s="3" t="s">
        <v>12</v>
      </c>
      <c r="C16" s="4">
        <f>C12*1.05</f>
        <v>64771.875</v>
      </c>
      <c r="D16" s="4">
        <f t="shared" ref="D16:H16" si="11">C16</f>
        <v>64771.875</v>
      </c>
      <c r="E16" s="4">
        <f t="shared" si="11"/>
        <v>64771.875</v>
      </c>
      <c r="F16" s="4">
        <f t="shared" si="11"/>
        <v>64771.875</v>
      </c>
      <c r="G16" s="4">
        <f t="shared" si="11"/>
        <v>64771.875</v>
      </c>
      <c r="H16" s="4">
        <f t="shared" si="11"/>
        <v>64771.875</v>
      </c>
    </row>
    <row r="17" spans="1:8" ht="15.75" customHeight="1" x14ac:dyDescent="0.2">
      <c r="A17" s="93"/>
      <c r="B17" s="3" t="s">
        <v>13</v>
      </c>
      <c r="C17" s="4">
        <f t="shared" ref="C17:H17" si="12">C13</f>
        <v>23600</v>
      </c>
      <c r="D17" s="4">
        <f t="shared" si="12"/>
        <v>14700</v>
      </c>
      <c r="E17" s="4">
        <f t="shared" si="12"/>
        <v>9500</v>
      </c>
      <c r="F17" s="4">
        <f t="shared" si="12"/>
        <v>7500</v>
      </c>
      <c r="G17" s="4">
        <f t="shared" si="12"/>
        <v>4700</v>
      </c>
      <c r="H17" s="4">
        <f t="shared" si="12"/>
        <v>3000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78226.5625</v>
      </c>
      <c r="D18" s="7">
        <f t="shared" si="13"/>
        <v>95136.5625</v>
      </c>
      <c r="E18" s="7">
        <f t="shared" si="13"/>
        <v>105016.5625</v>
      </c>
      <c r="F18" s="7">
        <f t="shared" si="13"/>
        <v>108816.5625</v>
      </c>
      <c r="G18" s="7">
        <f t="shared" si="13"/>
        <v>114136.5625</v>
      </c>
      <c r="H18" s="7">
        <f t="shared" si="13"/>
        <v>117366.5625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41171.875</v>
      </c>
      <c r="D19" s="7">
        <f t="shared" si="14"/>
        <v>50071.875</v>
      </c>
      <c r="E19" s="7">
        <f t="shared" si="14"/>
        <v>55271.875</v>
      </c>
      <c r="F19" s="7">
        <f t="shared" si="14"/>
        <v>57271.875</v>
      </c>
      <c r="G19" s="7">
        <f t="shared" si="14"/>
        <v>60071.875</v>
      </c>
      <c r="H19" s="7">
        <f t="shared" si="14"/>
        <v>61771.875</v>
      </c>
    </row>
    <row r="20" spans="1:8" ht="15.75" customHeight="1" x14ac:dyDescent="0.2">
      <c r="A20" s="76" t="s">
        <v>19</v>
      </c>
      <c r="B20" s="75"/>
      <c r="C20" s="9">
        <f t="shared" ref="C20:H20" si="15">SUM(C6,C10,C18,C14)</f>
        <v>282167.8125</v>
      </c>
      <c r="D20" s="9">
        <f t="shared" si="15"/>
        <v>349807.8125</v>
      </c>
      <c r="E20" s="9">
        <f t="shared" si="15"/>
        <v>389327.8125</v>
      </c>
      <c r="F20" s="9">
        <f t="shared" si="15"/>
        <v>404527.8125</v>
      </c>
      <c r="G20" s="9">
        <f t="shared" si="15"/>
        <v>425807.8125</v>
      </c>
      <c r="H20" s="9">
        <f t="shared" si="15"/>
        <v>438727.8125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73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73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001"/>
  <sheetViews>
    <sheetView topLeftCell="A3" workbookViewId="0">
      <selection activeCell="A20" sqref="A20:H20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5.5" customWidth="1"/>
    <col min="4" max="4" width="14" customWidth="1"/>
    <col min="5" max="5" width="15.6640625" customWidth="1"/>
    <col min="6" max="6" width="13.6640625" customWidth="1"/>
    <col min="7" max="7" width="12.5" customWidth="1"/>
    <col min="8" max="8" width="13" customWidth="1"/>
    <col min="9" max="26" width="11.1640625" customWidth="1"/>
  </cols>
  <sheetData>
    <row r="1" spans="1:8" ht="15.75" customHeight="1" x14ac:dyDescent="0.2">
      <c r="A1" s="90" t="s">
        <v>236</v>
      </c>
      <c r="B1" s="74"/>
      <c r="C1" s="74"/>
      <c r="D1" s="74"/>
      <c r="E1" s="74"/>
      <c r="F1" s="74"/>
      <c r="G1" s="74"/>
      <c r="H1" s="75"/>
    </row>
    <row r="2" spans="1:8" ht="49" customHeight="1" x14ac:dyDescent="0.2">
      <c r="A2" s="91" t="s">
        <v>237</v>
      </c>
      <c r="B2" s="74"/>
      <c r="C2" s="74"/>
      <c r="D2" s="74"/>
      <c r="E2" s="74"/>
      <c r="F2" s="74"/>
      <c r="G2" s="74"/>
      <c r="H2" s="75"/>
    </row>
    <row r="3" spans="1:8" ht="94" customHeight="1" x14ac:dyDescent="0.2">
      <c r="A3" s="1" t="s">
        <v>2</v>
      </c>
      <c r="B3" s="1" t="s">
        <v>3</v>
      </c>
      <c r="C3" s="2" t="s">
        <v>238</v>
      </c>
      <c r="D3" s="2" t="s">
        <v>239</v>
      </c>
      <c r="E3" s="2" t="s">
        <v>240</v>
      </c>
      <c r="F3" s="2" t="s">
        <v>241</v>
      </c>
      <c r="G3" s="2" t="s">
        <v>242</v>
      </c>
      <c r="H3" s="2" t="s">
        <v>243</v>
      </c>
    </row>
    <row r="4" spans="1:8" ht="15.75" customHeight="1" x14ac:dyDescent="0.2">
      <c r="A4" s="92" t="s">
        <v>11</v>
      </c>
      <c r="B4" s="3" t="s">
        <v>244</v>
      </c>
      <c r="C4" s="45">
        <v>213700</v>
      </c>
      <c r="D4" s="45">
        <f t="shared" ref="D4:H4" si="0">C4</f>
        <v>213700</v>
      </c>
      <c r="E4" s="45">
        <f t="shared" si="0"/>
        <v>213700</v>
      </c>
      <c r="F4" s="45">
        <f t="shared" si="0"/>
        <v>213700</v>
      </c>
      <c r="G4" s="45">
        <f t="shared" si="0"/>
        <v>213700</v>
      </c>
      <c r="H4" s="45">
        <f t="shared" si="0"/>
        <v>213700</v>
      </c>
    </row>
    <row r="5" spans="1:8" ht="15.75" customHeight="1" x14ac:dyDescent="0.2">
      <c r="A5" s="93"/>
      <c r="B5" s="3" t="s">
        <v>245</v>
      </c>
      <c r="C5" s="45">
        <v>64000</v>
      </c>
      <c r="D5" s="45">
        <v>64000</v>
      </c>
      <c r="E5" s="45">
        <v>55000</v>
      </c>
      <c r="F5" s="45">
        <f>184000*0.25</f>
        <v>46000</v>
      </c>
      <c r="G5" s="45">
        <v>37000</v>
      </c>
      <c r="H5" s="45">
        <v>28000</v>
      </c>
    </row>
    <row r="6" spans="1:8" ht="15.75" customHeight="1" x14ac:dyDescent="0.2">
      <c r="A6" s="93"/>
      <c r="B6" s="3" t="s">
        <v>13</v>
      </c>
      <c r="C6" s="46">
        <v>41600</v>
      </c>
      <c r="D6" s="46">
        <v>31200</v>
      </c>
      <c r="E6" s="46">
        <v>26000</v>
      </c>
      <c r="F6" s="46">
        <v>20800</v>
      </c>
      <c r="G6" s="46">
        <v>10400</v>
      </c>
      <c r="H6" s="46">
        <v>0</v>
      </c>
    </row>
    <row r="7" spans="1:8" ht="15.75" customHeight="1" x14ac:dyDescent="0.2">
      <c r="A7" s="93"/>
      <c r="B7" s="6" t="s">
        <v>14</v>
      </c>
      <c r="C7" s="7">
        <f t="shared" ref="C7:H7" si="1">(C4-C6)*2*0.95</f>
        <v>326990</v>
      </c>
      <c r="D7" s="7">
        <f t="shared" si="1"/>
        <v>346750</v>
      </c>
      <c r="E7" s="7">
        <f t="shared" si="1"/>
        <v>356630</v>
      </c>
      <c r="F7" s="7">
        <f t="shared" si="1"/>
        <v>366510</v>
      </c>
      <c r="G7" s="7">
        <f t="shared" si="1"/>
        <v>386270</v>
      </c>
      <c r="H7" s="7">
        <f t="shared" si="1"/>
        <v>406030</v>
      </c>
    </row>
    <row r="8" spans="1:8" ht="15.75" customHeight="1" x14ac:dyDescent="0.2">
      <c r="A8" s="94"/>
      <c r="B8" s="6" t="s">
        <v>15</v>
      </c>
      <c r="C8" s="7">
        <f t="shared" ref="C8:H8" si="2">(C4-C6)</f>
        <v>172100</v>
      </c>
      <c r="D8" s="7">
        <f t="shared" si="2"/>
        <v>182500</v>
      </c>
      <c r="E8" s="7">
        <f t="shared" si="2"/>
        <v>187700</v>
      </c>
      <c r="F8" s="7">
        <f t="shared" si="2"/>
        <v>192900</v>
      </c>
      <c r="G8" s="7">
        <f t="shared" si="2"/>
        <v>203300</v>
      </c>
      <c r="H8" s="7">
        <f t="shared" si="2"/>
        <v>213700</v>
      </c>
    </row>
    <row r="9" spans="1:8" ht="15.75" customHeight="1" x14ac:dyDescent="0.2">
      <c r="A9" s="92" t="s">
        <v>16</v>
      </c>
      <c r="B9" s="3" t="s">
        <v>244</v>
      </c>
      <c r="C9" s="4">
        <v>222550</v>
      </c>
      <c r="D9" s="4">
        <f t="shared" ref="D9:H9" si="3">C9</f>
        <v>222550</v>
      </c>
      <c r="E9" s="4">
        <f t="shared" si="3"/>
        <v>222550</v>
      </c>
      <c r="F9" s="4">
        <f t="shared" si="3"/>
        <v>222550</v>
      </c>
      <c r="G9" s="4">
        <f t="shared" si="3"/>
        <v>222550</v>
      </c>
      <c r="H9" s="4">
        <f t="shared" si="3"/>
        <v>222550</v>
      </c>
    </row>
    <row r="10" spans="1:8" ht="15.75" customHeight="1" x14ac:dyDescent="0.2">
      <c r="A10" s="93"/>
      <c r="B10" s="3" t="s">
        <v>245</v>
      </c>
      <c r="C10" s="45">
        <f t="shared" ref="C10:H11" si="4">C5</f>
        <v>64000</v>
      </c>
      <c r="D10" s="45">
        <f t="shared" si="4"/>
        <v>64000</v>
      </c>
      <c r="E10" s="45">
        <f t="shared" si="4"/>
        <v>55000</v>
      </c>
      <c r="F10" s="45">
        <f t="shared" si="4"/>
        <v>46000</v>
      </c>
      <c r="G10" s="45">
        <f t="shared" si="4"/>
        <v>37000</v>
      </c>
      <c r="H10" s="45">
        <f t="shared" si="4"/>
        <v>28000</v>
      </c>
    </row>
    <row r="11" spans="1:8" ht="15.75" customHeight="1" x14ac:dyDescent="0.2">
      <c r="A11" s="93"/>
      <c r="B11" s="3" t="s">
        <v>13</v>
      </c>
      <c r="C11" s="47">
        <f t="shared" si="4"/>
        <v>41600</v>
      </c>
      <c r="D11" s="47">
        <f t="shared" si="4"/>
        <v>31200</v>
      </c>
      <c r="E11" s="47">
        <f t="shared" si="4"/>
        <v>26000</v>
      </c>
      <c r="F11" s="47">
        <f t="shared" si="4"/>
        <v>20800</v>
      </c>
      <c r="G11" s="47">
        <f t="shared" si="4"/>
        <v>10400</v>
      </c>
      <c r="H11" s="47">
        <f t="shared" si="4"/>
        <v>0</v>
      </c>
    </row>
    <row r="12" spans="1:8" ht="15.75" customHeight="1" x14ac:dyDescent="0.2">
      <c r="A12" s="93"/>
      <c r="B12" s="6" t="s">
        <v>14</v>
      </c>
      <c r="C12" s="7">
        <f t="shared" ref="C12:H12" si="5">(C9-C11)*2*0.95</f>
        <v>343805</v>
      </c>
      <c r="D12" s="7">
        <f t="shared" si="5"/>
        <v>363565</v>
      </c>
      <c r="E12" s="7">
        <f t="shared" si="5"/>
        <v>373445</v>
      </c>
      <c r="F12" s="7">
        <f t="shared" si="5"/>
        <v>383325</v>
      </c>
      <c r="G12" s="7">
        <f t="shared" si="5"/>
        <v>403085</v>
      </c>
      <c r="H12" s="7">
        <f t="shared" si="5"/>
        <v>422845</v>
      </c>
    </row>
    <row r="13" spans="1:8" ht="15.75" customHeight="1" x14ac:dyDescent="0.2">
      <c r="A13" s="94"/>
      <c r="B13" s="6" t="s">
        <v>15</v>
      </c>
      <c r="C13" s="7">
        <f t="shared" ref="C13:H13" si="6">(C9-C11)</f>
        <v>180950</v>
      </c>
      <c r="D13" s="7">
        <f t="shared" si="6"/>
        <v>191350</v>
      </c>
      <c r="E13" s="7">
        <f t="shared" si="6"/>
        <v>196550</v>
      </c>
      <c r="F13" s="7">
        <f t="shared" si="6"/>
        <v>201750</v>
      </c>
      <c r="G13" s="7">
        <f t="shared" si="6"/>
        <v>212150</v>
      </c>
      <c r="H13" s="7">
        <f t="shared" si="6"/>
        <v>222550</v>
      </c>
    </row>
    <row r="14" spans="1:8" ht="15.75" customHeight="1" x14ac:dyDescent="0.2">
      <c r="A14" s="76" t="s">
        <v>19</v>
      </c>
      <c r="B14" s="75"/>
      <c r="C14" s="9">
        <f t="shared" ref="C14:H14" si="7">SUM(C7,C12)</f>
        <v>670795</v>
      </c>
      <c r="D14" s="9">
        <f t="shared" si="7"/>
        <v>710315</v>
      </c>
      <c r="E14" s="9">
        <f t="shared" si="7"/>
        <v>730075</v>
      </c>
      <c r="F14" s="9">
        <f t="shared" si="7"/>
        <v>749835</v>
      </c>
      <c r="G14" s="9">
        <f t="shared" si="7"/>
        <v>789355</v>
      </c>
      <c r="H14" s="9">
        <f t="shared" si="7"/>
        <v>828875</v>
      </c>
    </row>
    <row r="15" spans="1:8" ht="15.75" customHeight="1" x14ac:dyDescent="0.2">
      <c r="A15" s="77" t="s">
        <v>20</v>
      </c>
      <c r="B15" s="78"/>
      <c r="C15" s="83" t="s">
        <v>21</v>
      </c>
      <c r="D15" s="75"/>
      <c r="E15" s="10">
        <v>20000</v>
      </c>
      <c r="F15" s="84"/>
      <c r="G15" s="85"/>
      <c r="H15" s="78"/>
    </row>
    <row r="16" spans="1:8" ht="15.75" customHeight="1" x14ac:dyDescent="0.2">
      <c r="A16" s="79"/>
      <c r="B16" s="80"/>
      <c r="C16" s="83" t="s">
        <v>22</v>
      </c>
      <c r="D16" s="75"/>
      <c r="E16" s="10">
        <v>5000</v>
      </c>
      <c r="F16" s="79"/>
      <c r="G16" s="86"/>
      <c r="H16" s="80"/>
    </row>
    <row r="17" spans="1:8" ht="15.75" customHeight="1" x14ac:dyDescent="0.2">
      <c r="A17" s="81"/>
      <c r="B17" s="82"/>
      <c r="C17" s="88" t="s">
        <v>23</v>
      </c>
      <c r="D17" s="75"/>
      <c r="E17" s="10">
        <v>5000</v>
      </c>
      <c r="F17" s="79"/>
      <c r="G17" s="86"/>
      <c r="H17" s="80"/>
    </row>
    <row r="18" spans="1:8" ht="15.75" customHeight="1" x14ac:dyDescent="0.2">
      <c r="A18" s="89" t="s">
        <v>24</v>
      </c>
      <c r="B18" s="78"/>
      <c r="C18" s="76" t="s">
        <v>25</v>
      </c>
      <c r="D18" s="75"/>
      <c r="E18" s="3">
        <v>20500</v>
      </c>
      <c r="F18" s="79"/>
      <c r="G18" s="86"/>
      <c r="H18" s="80"/>
    </row>
    <row r="19" spans="1:8" ht="15.75" customHeight="1" x14ac:dyDescent="0.2">
      <c r="A19" s="81"/>
      <c r="B19" s="82"/>
      <c r="C19" s="76" t="s">
        <v>26</v>
      </c>
      <c r="D19" s="75"/>
      <c r="E19" s="3">
        <v>10750</v>
      </c>
      <c r="F19" s="81"/>
      <c r="G19" s="87"/>
      <c r="H19" s="82"/>
    </row>
    <row r="20" spans="1:8" ht="15.75" customHeight="1" x14ac:dyDescent="0.2">
      <c r="A20" s="73" t="s">
        <v>246</v>
      </c>
      <c r="B20" s="74"/>
      <c r="C20" s="74"/>
      <c r="D20" s="74"/>
      <c r="E20" s="74"/>
      <c r="F20" s="74"/>
      <c r="G20" s="74"/>
      <c r="H20" s="75"/>
    </row>
    <row r="21" spans="1:8" ht="15.75" customHeight="1" x14ac:dyDescent="0.2">
      <c r="A21" s="73" t="s">
        <v>27</v>
      </c>
      <c r="B21" s="74"/>
      <c r="C21" s="74"/>
      <c r="D21" s="74"/>
      <c r="E21" s="74"/>
      <c r="F21" s="74"/>
      <c r="G21" s="74"/>
      <c r="H21" s="75"/>
    </row>
    <row r="22" spans="1:8" ht="15.75" customHeight="1" x14ac:dyDescent="0.2">
      <c r="A22" s="73" t="s">
        <v>28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247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9">
    <mergeCell ref="A24:H24"/>
    <mergeCell ref="A25:H25"/>
    <mergeCell ref="A20:H20"/>
    <mergeCell ref="A18:B19"/>
    <mergeCell ref="C18:D18"/>
    <mergeCell ref="C19:D19"/>
    <mergeCell ref="A21:H21"/>
    <mergeCell ref="A22:H22"/>
    <mergeCell ref="A23:H23"/>
    <mergeCell ref="A1:H1"/>
    <mergeCell ref="A2:H2"/>
    <mergeCell ref="A4:A8"/>
    <mergeCell ref="A9:A13"/>
    <mergeCell ref="A14:B14"/>
    <mergeCell ref="A15:B17"/>
    <mergeCell ref="C15:D15"/>
    <mergeCell ref="F15:H19"/>
    <mergeCell ref="C16:D16"/>
    <mergeCell ref="C17:D17"/>
  </mergeCells>
  <pageMargins left="0.7" right="0.7" top="0.75" bottom="0.75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000"/>
  <sheetViews>
    <sheetView workbookViewId="0">
      <selection activeCell="A2" sqref="A1:XFD1048576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5.5" customWidth="1"/>
    <col min="4" max="4" width="14" customWidth="1"/>
    <col min="5" max="5" width="15.6640625" customWidth="1"/>
    <col min="6" max="6" width="13.6640625" customWidth="1"/>
    <col min="7" max="7" width="12.5" customWidth="1"/>
    <col min="8" max="8" width="13" customWidth="1"/>
    <col min="9" max="26" width="11.1640625" customWidth="1"/>
  </cols>
  <sheetData>
    <row r="1" spans="1:8" ht="15.75" customHeight="1" x14ac:dyDescent="0.2">
      <c r="A1" s="90" t="s">
        <v>248</v>
      </c>
      <c r="B1" s="74"/>
      <c r="C1" s="74"/>
      <c r="D1" s="74"/>
      <c r="E1" s="74"/>
      <c r="F1" s="74"/>
      <c r="G1" s="74"/>
      <c r="H1" s="75"/>
    </row>
    <row r="2" spans="1:8" ht="184.5" customHeight="1" x14ac:dyDescent="0.2">
      <c r="A2" s="91" t="s">
        <v>249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238</v>
      </c>
      <c r="D3" s="2" t="s">
        <v>239</v>
      </c>
      <c r="E3" s="2" t="s">
        <v>240</v>
      </c>
      <c r="F3" s="2" t="s">
        <v>241</v>
      </c>
      <c r="G3" s="2" t="s">
        <v>242</v>
      </c>
      <c r="H3" s="2" t="s">
        <v>243</v>
      </c>
    </row>
    <row r="4" spans="1:8" ht="15.75" customHeight="1" x14ac:dyDescent="0.2">
      <c r="A4" s="92" t="s">
        <v>11</v>
      </c>
      <c r="B4" s="3" t="s">
        <v>244</v>
      </c>
      <c r="C4" s="45">
        <v>213700</v>
      </c>
      <c r="D4" s="45">
        <f t="shared" ref="D4:H4" si="0">C4</f>
        <v>213700</v>
      </c>
      <c r="E4" s="45">
        <f t="shared" si="0"/>
        <v>213700</v>
      </c>
      <c r="F4" s="45">
        <f t="shared" si="0"/>
        <v>213700</v>
      </c>
      <c r="G4" s="45">
        <f t="shared" si="0"/>
        <v>213700</v>
      </c>
      <c r="H4" s="45">
        <f t="shared" si="0"/>
        <v>213700</v>
      </c>
    </row>
    <row r="5" spans="1:8" ht="15.75" customHeight="1" x14ac:dyDescent="0.2">
      <c r="A5" s="93"/>
      <c r="B5" s="3" t="s">
        <v>245</v>
      </c>
      <c r="C5" s="45">
        <v>64000</v>
      </c>
      <c r="D5" s="45">
        <v>64000</v>
      </c>
      <c r="E5" s="45">
        <v>55000</v>
      </c>
      <c r="F5" s="45">
        <f>184000*0.25</f>
        <v>46000</v>
      </c>
      <c r="G5" s="45">
        <v>37000</v>
      </c>
      <c r="H5" s="45">
        <v>28000</v>
      </c>
    </row>
    <row r="6" spans="1:8" ht="15.75" customHeight="1" x14ac:dyDescent="0.2">
      <c r="A6" s="93"/>
      <c r="B6" s="3" t="s">
        <v>13</v>
      </c>
      <c r="C6" s="46">
        <v>41600</v>
      </c>
      <c r="D6" s="46">
        <v>31200</v>
      </c>
      <c r="E6" s="46">
        <v>26000</v>
      </c>
      <c r="F6" s="46">
        <v>20800</v>
      </c>
      <c r="G6" s="46">
        <v>10400</v>
      </c>
      <c r="H6" s="46">
        <v>0</v>
      </c>
    </row>
    <row r="7" spans="1:8" ht="15.75" customHeight="1" x14ac:dyDescent="0.2">
      <c r="A7" s="93"/>
      <c r="B7" s="6" t="s">
        <v>14</v>
      </c>
      <c r="C7" s="7">
        <f t="shared" ref="C7:H7" si="1">(C4-C6)*2*0.95</f>
        <v>326990</v>
      </c>
      <c r="D7" s="7">
        <f t="shared" si="1"/>
        <v>346750</v>
      </c>
      <c r="E7" s="7">
        <f t="shared" si="1"/>
        <v>356630</v>
      </c>
      <c r="F7" s="7">
        <f t="shared" si="1"/>
        <v>366510</v>
      </c>
      <c r="G7" s="7">
        <f t="shared" si="1"/>
        <v>386270</v>
      </c>
      <c r="H7" s="7">
        <f t="shared" si="1"/>
        <v>406030</v>
      </c>
    </row>
    <row r="8" spans="1:8" ht="15.75" customHeight="1" x14ac:dyDescent="0.2">
      <c r="A8" s="94"/>
      <c r="B8" s="6" t="s">
        <v>15</v>
      </c>
      <c r="C8" s="7">
        <f t="shared" ref="C8:H8" si="2">(C4-C6)</f>
        <v>172100</v>
      </c>
      <c r="D8" s="7">
        <f t="shared" si="2"/>
        <v>182500</v>
      </c>
      <c r="E8" s="7">
        <f t="shared" si="2"/>
        <v>187700</v>
      </c>
      <c r="F8" s="7">
        <f t="shared" si="2"/>
        <v>192900</v>
      </c>
      <c r="G8" s="7">
        <f t="shared" si="2"/>
        <v>203300</v>
      </c>
      <c r="H8" s="7">
        <f t="shared" si="2"/>
        <v>213700</v>
      </c>
    </row>
    <row r="9" spans="1:8" ht="15.75" customHeight="1" x14ac:dyDescent="0.2">
      <c r="A9" s="92" t="s">
        <v>16</v>
      </c>
      <c r="B9" s="3" t="s">
        <v>244</v>
      </c>
      <c r="C9" s="4">
        <v>222550</v>
      </c>
      <c r="D9" s="4">
        <f t="shared" ref="D9:H9" si="3">C9</f>
        <v>222550</v>
      </c>
      <c r="E9" s="4">
        <f t="shared" si="3"/>
        <v>222550</v>
      </c>
      <c r="F9" s="4">
        <f t="shared" si="3"/>
        <v>222550</v>
      </c>
      <c r="G9" s="4">
        <f t="shared" si="3"/>
        <v>222550</v>
      </c>
      <c r="H9" s="4">
        <f t="shared" si="3"/>
        <v>222550</v>
      </c>
    </row>
    <row r="10" spans="1:8" ht="15.75" customHeight="1" x14ac:dyDescent="0.2">
      <c r="A10" s="93"/>
      <c r="B10" s="3" t="s">
        <v>245</v>
      </c>
      <c r="C10" s="45">
        <f t="shared" ref="C10:H10" si="4">C5</f>
        <v>64000</v>
      </c>
      <c r="D10" s="45">
        <f t="shared" si="4"/>
        <v>64000</v>
      </c>
      <c r="E10" s="45">
        <f t="shared" si="4"/>
        <v>55000</v>
      </c>
      <c r="F10" s="45">
        <f t="shared" si="4"/>
        <v>46000</v>
      </c>
      <c r="G10" s="45">
        <f t="shared" si="4"/>
        <v>37000</v>
      </c>
      <c r="H10" s="45">
        <f t="shared" si="4"/>
        <v>28000</v>
      </c>
    </row>
    <row r="11" spans="1:8" ht="15.75" customHeight="1" x14ac:dyDescent="0.2">
      <c r="A11" s="93"/>
      <c r="B11" s="3" t="s">
        <v>13</v>
      </c>
      <c r="C11" s="47">
        <f t="shared" ref="C11:H11" si="5">C6</f>
        <v>41600</v>
      </c>
      <c r="D11" s="47">
        <f t="shared" si="5"/>
        <v>31200</v>
      </c>
      <c r="E11" s="47">
        <f t="shared" si="5"/>
        <v>26000</v>
      </c>
      <c r="F11" s="47">
        <f t="shared" si="5"/>
        <v>20800</v>
      </c>
      <c r="G11" s="47">
        <f t="shared" si="5"/>
        <v>10400</v>
      </c>
      <c r="H11" s="47">
        <f t="shared" si="5"/>
        <v>0</v>
      </c>
    </row>
    <row r="12" spans="1:8" ht="15.75" customHeight="1" x14ac:dyDescent="0.2">
      <c r="A12" s="93"/>
      <c r="B12" s="6" t="s">
        <v>14</v>
      </c>
      <c r="C12" s="7">
        <f t="shared" ref="C12:H12" si="6">(C9-C11)*2*0.95</f>
        <v>343805</v>
      </c>
      <c r="D12" s="7">
        <f t="shared" si="6"/>
        <v>363565</v>
      </c>
      <c r="E12" s="7">
        <f t="shared" si="6"/>
        <v>373445</v>
      </c>
      <c r="F12" s="7">
        <f t="shared" si="6"/>
        <v>383325</v>
      </c>
      <c r="G12" s="7">
        <f t="shared" si="6"/>
        <v>403085</v>
      </c>
      <c r="H12" s="7">
        <f t="shared" si="6"/>
        <v>422845</v>
      </c>
    </row>
    <row r="13" spans="1:8" ht="15.75" customHeight="1" x14ac:dyDescent="0.2">
      <c r="A13" s="94"/>
      <c r="B13" s="6" t="s">
        <v>15</v>
      </c>
      <c r="C13" s="7">
        <f t="shared" ref="C13:H13" si="7">(C9-C11)</f>
        <v>180950</v>
      </c>
      <c r="D13" s="7">
        <f t="shared" si="7"/>
        <v>191350</v>
      </c>
      <c r="E13" s="7">
        <f t="shared" si="7"/>
        <v>196550</v>
      </c>
      <c r="F13" s="7">
        <f t="shared" si="7"/>
        <v>201750</v>
      </c>
      <c r="G13" s="7">
        <f t="shared" si="7"/>
        <v>212150</v>
      </c>
      <c r="H13" s="7">
        <f t="shared" si="7"/>
        <v>222550</v>
      </c>
    </row>
    <row r="14" spans="1:8" ht="15.75" customHeight="1" x14ac:dyDescent="0.2">
      <c r="A14" s="76" t="s">
        <v>19</v>
      </c>
      <c r="B14" s="75"/>
      <c r="C14" s="9">
        <f t="shared" ref="C14:H14" si="8">SUM(C7,C12)</f>
        <v>670795</v>
      </c>
      <c r="D14" s="9">
        <f t="shared" si="8"/>
        <v>710315</v>
      </c>
      <c r="E14" s="9">
        <f t="shared" si="8"/>
        <v>730075</v>
      </c>
      <c r="F14" s="9">
        <f t="shared" si="8"/>
        <v>749835</v>
      </c>
      <c r="G14" s="9">
        <f t="shared" si="8"/>
        <v>789355</v>
      </c>
      <c r="H14" s="9">
        <f t="shared" si="8"/>
        <v>828875</v>
      </c>
    </row>
    <row r="15" spans="1:8" ht="15.75" customHeight="1" x14ac:dyDescent="0.2">
      <c r="A15" s="77" t="s">
        <v>20</v>
      </c>
      <c r="B15" s="78"/>
      <c r="C15" s="83" t="s">
        <v>21</v>
      </c>
      <c r="D15" s="75"/>
      <c r="E15" s="10">
        <v>20000</v>
      </c>
      <c r="F15" s="84"/>
      <c r="G15" s="85"/>
      <c r="H15" s="78"/>
    </row>
    <row r="16" spans="1:8" ht="15.75" customHeight="1" x14ac:dyDescent="0.2">
      <c r="A16" s="79"/>
      <c r="B16" s="80"/>
      <c r="C16" s="83" t="s">
        <v>22</v>
      </c>
      <c r="D16" s="75"/>
      <c r="E16" s="10">
        <v>5000</v>
      </c>
      <c r="F16" s="79"/>
      <c r="G16" s="86"/>
      <c r="H16" s="80"/>
    </row>
    <row r="17" spans="1:8" ht="15.75" customHeight="1" x14ac:dyDescent="0.2">
      <c r="A17" s="81"/>
      <c r="B17" s="82"/>
      <c r="C17" s="88" t="s">
        <v>23</v>
      </c>
      <c r="D17" s="75"/>
      <c r="E17" s="10">
        <v>5000</v>
      </c>
      <c r="F17" s="79"/>
      <c r="G17" s="86"/>
      <c r="H17" s="80"/>
    </row>
    <row r="18" spans="1:8" ht="15.75" customHeight="1" x14ac:dyDescent="0.2">
      <c r="A18" s="89" t="s">
        <v>24</v>
      </c>
      <c r="B18" s="78"/>
      <c r="C18" s="76" t="s">
        <v>25</v>
      </c>
      <c r="D18" s="75"/>
      <c r="E18" s="3">
        <v>20500</v>
      </c>
      <c r="F18" s="79"/>
      <c r="G18" s="86"/>
      <c r="H18" s="80"/>
    </row>
    <row r="19" spans="1:8" ht="15.75" customHeight="1" x14ac:dyDescent="0.2">
      <c r="A19" s="81"/>
      <c r="B19" s="82"/>
      <c r="C19" s="76" t="s">
        <v>26</v>
      </c>
      <c r="D19" s="75"/>
      <c r="E19" s="3">
        <v>10750</v>
      </c>
      <c r="F19" s="81"/>
      <c r="G19" s="87"/>
      <c r="H19" s="82"/>
    </row>
    <row r="20" spans="1:8" ht="15.75" customHeight="1" x14ac:dyDescent="0.2">
      <c r="A20" s="73" t="s">
        <v>27</v>
      </c>
      <c r="B20" s="74"/>
      <c r="C20" s="74"/>
      <c r="D20" s="74"/>
      <c r="E20" s="74"/>
      <c r="F20" s="74"/>
      <c r="G20" s="74"/>
      <c r="H20" s="75"/>
    </row>
    <row r="21" spans="1:8" ht="15.75" customHeight="1" x14ac:dyDescent="0.2">
      <c r="A21" s="73" t="s">
        <v>28</v>
      </c>
      <c r="B21" s="74"/>
      <c r="C21" s="74"/>
      <c r="D21" s="74"/>
      <c r="E21" s="74"/>
      <c r="F21" s="74"/>
      <c r="G21" s="74"/>
      <c r="H21" s="75"/>
    </row>
    <row r="22" spans="1:8" ht="15.75" customHeight="1" x14ac:dyDescent="0.2">
      <c r="A22" s="73" t="s">
        <v>247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95" t="s">
        <v>29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95" t="s">
        <v>30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20:H20"/>
    <mergeCell ref="A21:H21"/>
    <mergeCell ref="A22:H22"/>
    <mergeCell ref="A23:H23"/>
    <mergeCell ref="A24:H24"/>
    <mergeCell ref="F15:H19"/>
    <mergeCell ref="C17:D17"/>
    <mergeCell ref="A1:H1"/>
    <mergeCell ref="A2:H2"/>
    <mergeCell ref="A4:A8"/>
    <mergeCell ref="A9:A13"/>
    <mergeCell ref="A14:B14"/>
    <mergeCell ref="C15:D15"/>
    <mergeCell ref="C16:D16"/>
    <mergeCell ref="A15:B17"/>
    <mergeCell ref="A18:B19"/>
    <mergeCell ref="C18:D18"/>
    <mergeCell ref="C19:D19"/>
  </mergeCells>
  <pageMargins left="0.7" right="0.7" top="0.75" bottom="0.75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1000"/>
  <sheetViews>
    <sheetView workbookViewId="0">
      <selection activeCell="B8" sqref="B8"/>
    </sheetView>
  </sheetViews>
  <sheetFormatPr baseColWidth="10" defaultColWidth="11.1640625" defaultRowHeight="15" customHeight="1" x14ac:dyDescent="0.2"/>
  <cols>
    <col min="1" max="1" width="20.5" customWidth="1"/>
    <col min="2" max="2" width="30.6640625" customWidth="1"/>
    <col min="3" max="3" width="17.33203125" customWidth="1"/>
    <col min="4" max="5" width="17.6640625" customWidth="1"/>
    <col min="6" max="6" width="17.33203125" customWidth="1"/>
    <col min="7" max="8" width="19.6640625" customWidth="1"/>
    <col min="9" max="14" width="8.6640625" customWidth="1"/>
    <col min="15" max="26" width="11.1640625" customWidth="1"/>
  </cols>
  <sheetData>
    <row r="1" spans="1:8" ht="15.75" customHeight="1" x14ac:dyDescent="0.2">
      <c r="A1" s="90" t="s">
        <v>250</v>
      </c>
      <c r="B1" s="74"/>
      <c r="C1" s="74"/>
      <c r="D1" s="74"/>
      <c r="E1" s="74"/>
      <c r="F1" s="74"/>
      <c r="G1" s="74"/>
      <c r="H1" s="75"/>
    </row>
    <row r="2" spans="1:8" ht="63" customHeight="1" x14ac:dyDescent="0.2">
      <c r="A2" s="91" t="s">
        <v>251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238</v>
      </c>
      <c r="D3" s="2" t="s">
        <v>239</v>
      </c>
      <c r="E3" s="2" t="s">
        <v>240</v>
      </c>
      <c r="F3" s="2" t="s">
        <v>241</v>
      </c>
      <c r="G3" s="2" t="s">
        <v>242</v>
      </c>
      <c r="H3" s="2" t="s">
        <v>252</v>
      </c>
    </row>
    <row r="4" spans="1:8" ht="15.75" customHeight="1" x14ac:dyDescent="0.2">
      <c r="A4" s="92" t="s">
        <v>11</v>
      </c>
      <c r="B4" s="3" t="s">
        <v>244</v>
      </c>
      <c r="C4" s="45">
        <v>247700</v>
      </c>
      <c r="D4" s="45">
        <f t="shared" ref="D4:H4" si="0">C4</f>
        <v>247700</v>
      </c>
      <c r="E4" s="45">
        <f t="shared" si="0"/>
        <v>247700</v>
      </c>
      <c r="F4" s="45">
        <f t="shared" si="0"/>
        <v>247700</v>
      </c>
      <c r="G4" s="45">
        <f t="shared" si="0"/>
        <v>247700</v>
      </c>
      <c r="H4" s="45">
        <f t="shared" si="0"/>
        <v>247700</v>
      </c>
    </row>
    <row r="5" spans="1:8" ht="15.75" customHeight="1" x14ac:dyDescent="0.2">
      <c r="A5" s="93"/>
      <c r="B5" s="3" t="s">
        <v>13</v>
      </c>
      <c r="C5" s="46">
        <v>40000</v>
      </c>
      <c r="D5" s="46">
        <v>29500</v>
      </c>
      <c r="E5" s="46">
        <v>24000</v>
      </c>
      <c r="F5" s="46">
        <v>19000</v>
      </c>
      <c r="G5" s="46">
        <v>8000</v>
      </c>
      <c r="H5" s="46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394630</v>
      </c>
      <c r="D6" s="7">
        <f t="shared" si="1"/>
        <v>414580</v>
      </c>
      <c r="E6" s="7">
        <f t="shared" si="1"/>
        <v>425030</v>
      </c>
      <c r="F6" s="7">
        <f t="shared" si="1"/>
        <v>434530</v>
      </c>
      <c r="G6" s="7">
        <f t="shared" si="1"/>
        <v>455430</v>
      </c>
      <c r="H6" s="7">
        <f t="shared" si="1"/>
        <v>470630</v>
      </c>
    </row>
    <row r="7" spans="1:8" ht="15.75" customHeight="1" x14ac:dyDescent="0.2">
      <c r="A7" s="94"/>
      <c r="B7" s="6" t="s">
        <v>15</v>
      </c>
      <c r="C7" s="7">
        <f t="shared" ref="C7:H7" si="2">(C4-C5)</f>
        <v>207700</v>
      </c>
      <c r="D7" s="7">
        <f t="shared" si="2"/>
        <v>218200</v>
      </c>
      <c r="E7" s="7">
        <f t="shared" si="2"/>
        <v>223700</v>
      </c>
      <c r="F7" s="7">
        <f t="shared" si="2"/>
        <v>228700</v>
      </c>
      <c r="G7" s="7">
        <f t="shared" si="2"/>
        <v>239700</v>
      </c>
      <c r="H7" s="7">
        <f t="shared" si="2"/>
        <v>247700</v>
      </c>
    </row>
    <row r="8" spans="1:8" ht="15.75" customHeight="1" x14ac:dyDescent="0.2">
      <c r="A8" s="92" t="s">
        <v>16</v>
      </c>
      <c r="B8" s="3" t="s">
        <v>244</v>
      </c>
      <c r="C8" s="4">
        <v>269150</v>
      </c>
      <c r="D8" s="4">
        <f t="shared" ref="D8:H8" si="3">C8</f>
        <v>269150</v>
      </c>
      <c r="E8" s="4">
        <f t="shared" si="3"/>
        <v>269150</v>
      </c>
      <c r="F8" s="4">
        <f t="shared" si="3"/>
        <v>269150</v>
      </c>
      <c r="G8" s="4">
        <f t="shared" si="3"/>
        <v>269150</v>
      </c>
      <c r="H8" s="4">
        <f t="shared" si="3"/>
        <v>269150</v>
      </c>
    </row>
    <row r="9" spans="1:8" ht="15.75" customHeight="1" x14ac:dyDescent="0.2">
      <c r="A9" s="93"/>
      <c r="B9" s="3" t="s">
        <v>13</v>
      </c>
      <c r="C9" s="47">
        <f t="shared" ref="C9:H9" si="4">C5</f>
        <v>40000</v>
      </c>
      <c r="D9" s="47">
        <f t="shared" si="4"/>
        <v>29500</v>
      </c>
      <c r="E9" s="47">
        <f t="shared" si="4"/>
        <v>24000</v>
      </c>
      <c r="F9" s="47">
        <f t="shared" si="4"/>
        <v>19000</v>
      </c>
      <c r="G9" s="47">
        <f t="shared" si="4"/>
        <v>8000</v>
      </c>
      <c r="H9" s="47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435385</v>
      </c>
      <c r="D10" s="7">
        <f t="shared" si="5"/>
        <v>455335</v>
      </c>
      <c r="E10" s="7">
        <f t="shared" si="5"/>
        <v>465785</v>
      </c>
      <c r="F10" s="7">
        <f t="shared" si="5"/>
        <v>475285</v>
      </c>
      <c r="G10" s="7">
        <f t="shared" si="5"/>
        <v>496185</v>
      </c>
      <c r="H10" s="7">
        <f t="shared" si="5"/>
        <v>511385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229150</v>
      </c>
      <c r="D11" s="7">
        <f t="shared" si="6"/>
        <v>239650</v>
      </c>
      <c r="E11" s="7">
        <f t="shared" si="6"/>
        <v>245150</v>
      </c>
      <c r="F11" s="7">
        <f t="shared" si="6"/>
        <v>250150</v>
      </c>
      <c r="G11" s="7">
        <f t="shared" si="6"/>
        <v>261150</v>
      </c>
      <c r="H11" s="7">
        <f t="shared" si="6"/>
        <v>269150</v>
      </c>
    </row>
    <row r="12" spans="1:8" ht="15.75" customHeight="1" x14ac:dyDescent="0.2">
      <c r="A12" s="76" t="s">
        <v>19</v>
      </c>
      <c r="B12" s="75"/>
      <c r="C12" s="9">
        <f t="shared" ref="C12:H12" si="7">SUM(C6,C10)</f>
        <v>830015</v>
      </c>
      <c r="D12" s="9">
        <f t="shared" si="7"/>
        <v>869915</v>
      </c>
      <c r="E12" s="9">
        <f t="shared" si="7"/>
        <v>890815</v>
      </c>
      <c r="F12" s="9">
        <f t="shared" si="7"/>
        <v>909815</v>
      </c>
      <c r="G12" s="9">
        <f t="shared" si="7"/>
        <v>951615</v>
      </c>
      <c r="H12" s="9">
        <f t="shared" si="7"/>
        <v>982015</v>
      </c>
    </row>
    <row r="13" spans="1:8" ht="15.75" customHeight="1" x14ac:dyDescent="0.2">
      <c r="A13" s="77" t="s">
        <v>20</v>
      </c>
      <c r="B13" s="78"/>
      <c r="C13" s="83" t="s">
        <v>21</v>
      </c>
      <c r="D13" s="75"/>
      <c r="E13" s="10">
        <v>20000</v>
      </c>
      <c r="F13" s="84"/>
      <c r="G13" s="85"/>
      <c r="H13" s="78"/>
    </row>
    <row r="14" spans="1:8" ht="15.75" customHeight="1" x14ac:dyDescent="0.2">
      <c r="A14" s="79"/>
      <c r="B14" s="80"/>
      <c r="C14" s="83" t="s">
        <v>22</v>
      </c>
      <c r="D14" s="75"/>
      <c r="E14" s="10">
        <v>5000</v>
      </c>
      <c r="F14" s="79"/>
      <c r="G14" s="86"/>
      <c r="H14" s="80"/>
    </row>
    <row r="15" spans="1:8" ht="15.75" customHeight="1" x14ac:dyDescent="0.2">
      <c r="A15" s="81"/>
      <c r="B15" s="82"/>
      <c r="C15" s="88" t="s">
        <v>23</v>
      </c>
      <c r="D15" s="75"/>
      <c r="E15" s="10">
        <v>5000</v>
      </c>
      <c r="F15" s="79"/>
      <c r="G15" s="86"/>
      <c r="H15" s="80"/>
    </row>
    <row r="16" spans="1:8" ht="15.75" customHeight="1" x14ac:dyDescent="0.2">
      <c r="A16" s="89" t="s">
        <v>24</v>
      </c>
      <c r="B16" s="78"/>
      <c r="C16" s="76" t="s">
        <v>25</v>
      </c>
      <c r="D16" s="75"/>
      <c r="E16" s="3">
        <v>20500</v>
      </c>
      <c r="F16" s="79"/>
      <c r="G16" s="86"/>
      <c r="H16" s="80"/>
    </row>
    <row r="17" spans="1:14" ht="15.75" customHeight="1" x14ac:dyDescent="0.2">
      <c r="A17" s="81"/>
      <c r="B17" s="82"/>
      <c r="C17" s="76" t="s">
        <v>26</v>
      </c>
      <c r="D17" s="75"/>
      <c r="E17" s="3">
        <v>10750</v>
      </c>
      <c r="F17" s="81"/>
      <c r="G17" s="87"/>
      <c r="H17" s="82"/>
    </row>
    <row r="18" spans="1:14" ht="15.75" customHeight="1" x14ac:dyDescent="0.2">
      <c r="A18" s="73" t="s">
        <v>27</v>
      </c>
      <c r="B18" s="74"/>
      <c r="C18" s="74"/>
      <c r="D18" s="74"/>
      <c r="E18" s="74"/>
      <c r="F18" s="74"/>
      <c r="G18" s="74"/>
      <c r="H18" s="75"/>
    </row>
    <row r="19" spans="1:14" ht="15.75" customHeight="1" x14ac:dyDescent="0.2">
      <c r="A19" s="73" t="s">
        <v>28</v>
      </c>
      <c r="B19" s="74"/>
      <c r="C19" s="74"/>
      <c r="D19" s="74"/>
      <c r="E19" s="74"/>
      <c r="F19" s="74"/>
      <c r="G19" s="74"/>
      <c r="H19" s="75"/>
    </row>
    <row r="20" spans="1:14" ht="15.75" customHeight="1" x14ac:dyDescent="0.2">
      <c r="A20" s="73" t="s">
        <v>247</v>
      </c>
      <c r="B20" s="74"/>
      <c r="C20" s="74"/>
      <c r="D20" s="74"/>
      <c r="E20" s="74"/>
      <c r="F20" s="74"/>
      <c r="G20" s="74"/>
      <c r="H20" s="75"/>
    </row>
    <row r="21" spans="1:14" ht="15.75" customHeight="1" x14ac:dyDescent="0.2">
      <c r="A21" s="73" t="s">
        <v>29</v>
      </c>
      <c r="B21" s="74"/>
      <c r="C21" s="74"/>
      <c r="D21" s="74"/>
      <c r="E21" s="74"/>
      <c r="F21" s="74"/>
      <c r="G21" s="74"/>
      <c r="H21" s="75"/>
    </row>
    <row r="22" spans="1:14" ht="15.75" customHeight="1" x14ac:dyDescent="0.2">
      <c r="A22" s="73" t="s">
        <v>30</v>
      </c>
      <c r="B22" s="74"/>
      <c r="C22" s="74"/>
      <c r="D22" s="74"/>
      <c r="E22" s="74"/>
      <c r="F22" s="74"/>
      <c r="G22" s="74"/>
      <c r="H22" s="75"/>
    </row>
    <row r="23" spans="1:14" ht="15.75" customHeight="1" x14ac:dyDescent="0.2"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5.75" customHeight="1" x14ac:dyDescent="0.2">
      <c r="C24" s="18"/>
      <c r="D24" s="18"/>
      <c r="E24" s="18"/>
      <c r="F24" s="18"/>
      <c r="G24" s="18"/>
      <c r="H24" s="18"/>
    </row>
    <row r="25" spans="1:14" ht="15.75" customHeight="1" x14ac:dyDescent="0.2"/>
    <row r="26" spans="1:14" ht="15.75" customHeight="1" x14ac:dyDescent="0.2"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15.75" customHeight="1" x14ac:dyDescent="0.2"/>
    <row r="28" spans="1:14" ht="15.75" customHeight="1" x14ac:dyDescent="0.2"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15.75" customHeight="1" x14ac:dyDescent="0.2"/>
    <row r="30" spans="1:14" ht="15.75" customHeight="1" x14ac:dyDescent="0.2"/>
    <row r="31" spans="1:14" ht="15.75" customHeight="1" x14ac:dyDescent="0.2"/>
    <row r="32" spans="1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8:H18"/>
    <mergeCell ref="A19:H19"/>
    <mergeCell ref="A20:H20"/>
    <mergeCell ref="A21:H21"/>
    <mergeCell ref="A22:H22"/>
    <mergeCell ref="F13:H17"/>
    <mergeCell ref="C15:D15"/>
    <mergeCell ref="A1:H1"/>
    <mergeCell ref="A2:H2"/>
    <mergeCell ref="A4:A7"/>
    <mergeCell ref="A8:A11"/>
    <mergeCell ref="A12:B12"/>
    <mergeCell ref="C13:D13"/>
    <mergeCell ref="C14:D14"/>
    <mergeCell ref="A13:B15"/>
    <mergeCell ref="A16:B17"/>
    <mergeCell ref="C16:D16"/>
    <mergeCell ref="C17:D17"/>
  </mergeCells>
  <pageMargins left="0.7" right="0.7" top="0.75" bottom="0.75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4.6640625" customWidth="1"/>
    <col min="4" max="5" width="17.6640625" customWidth="1"/>
    <col min="6" max="7" width="18.33203125" customWidth="1"/>
    <col min="8" max="8" width="23.6640625" customWidth="1"/>
    <col min="9" max="26" width="11.1640625" customWidth="1"/>
  </cols>
  <sheetData>
    <row r="1" spans="1:8" ht="15.75" customHeight="1" x14ac:dyDescent="0.2">
      <c r="A1" s="90" t="s">
        <v>253</v>
      </c>
      <c r="B1" s="74"/>
      <c r="C1" s="74"/>
      <c r="D1" s="74"/>
      <c r="E1" s="74"/>
      <c r="F1" s="74"/>
      <c r="G1" s="74"/>
      <c r="H1" s="75"/>
    </row>
    <row r="2" spans="1:8" ht="42.75" customHeight="1" x14ac:dyDescent="0.2">
      <c r="A2" s="91" t="s">
        <v>254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92" t="s">
        <v>16</v>
      </c>
      <c r="B8" s="3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  <c r="H8" s="4">
        <f t="shared" si="3"/>
        <v>67150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4">
        <f t="shared" si="7"/>
        <v>70507.5</v>
      </c>
      <c r="H12" s="4">
        <f t="shared" si="7"/>
        <v>70507.5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74032.875</v>
      </c>
      <c r="D16" s="4">
        <f t="shared" ref="D16:H16" si="11">C16</f>
        <v>74032.875</v>
      </c>
      <c r="E16" s="4">
        <f t="shared" si="11"/>
        <v>74032.875</v>
      </c>
      <c r="F16" s="4">
        <f t="shared" si="11"/>
        <v>74032.875</v>
      </c>
      <c r="G16" s="4">
        <f t="shared" si="11"/>
        <v>74032.875</v>
      </c>
      <c r="H16" s="4">
        <f t="shared" si="11"/>
        <v>74032.875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15500</v>
      </c>
      <c r="E17" s="4">
        <f t="shared" si="12"/>
        <v>13000</v>
      </c>
      <c r="F17" s="4">
        <f t="shared" si="12"/>
        <v>10500</v>
      </c>
      <c r="G17" s="4">
        <f t="shared" si="12"/>
        <v>7500</v>
      </c>
      <c r="H17" s="4">
        <f t="shared" si="12"/>
        <v>5000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100762.46249999999</v>
      </c>
      <c r="D18" s="7">
        <f t="shared" si="13"/>
        <v>111212.46249999999</v>
      </c>
      <c r="E18" s="7">
        <f t="shared" si="13"/>
        <v>115962.46249999999</v>
      </c>
      <c r="F18" s="7">
        <f t="shared" si="13"/>
        <v>120712.46249999999</v>
      </c>
      <c r="G18" s="7">
        <f t="shared" si="13"/>
        <v>126412.46249999999</v>
      </c>
      <c r="H18" s="7">
        <f t="shared" si="13"/>
        <v>131162.46249999999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53032.875</v>
      </c>
      <c r="D19" s="7">
        <f t="shared" si="14"/>
        <v>58532.875</v>
      </c>
      <c r="E19" s="7">
        <f t="shared" si="14"/>
        <v>61032.875</v>
      </c>
      <c r="F19" s="7">
        <f t="shared" si="14"/>
        <v>63532.875</v>
      </c>
      <c r="G19" s="7">
        <f t="shared" si="14"/>
        <v>66532.875</v>
      </c>
      <c r="H19" s="7">
        <f t="shared" si="14"/>
        <v>69032.875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367441.71250000002</v>
      </c>
      <c r="D20" s="9">
        <f t="shared" si="15"/>
        <v>409241.71250000002</v>
      </c>
      <c r="E20" s="9">
        <f t="shared" si="15"/>
        <v>428241.71250000002</v>
      </c>
      <c r="F20" s="9">
        <f t="shared" si="15"/>
        <v>447241.71250000002</v>
      </c>
      <c r="G20" s="9">
        <f t="shared" si="15"/>
        <v>470041.71250000002</v>
      </c>
      <c r="H20" s="9">
        <f t="shared" si="15"/>
        <v>489041.71250000002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73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73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9.5" customWidth="1"/>
    <col min="4" max="4" width="17" customWidth="1"/>
    <col min="5" max="5" width="10.6640625" customWidth="1"/>
    <col min="6" max="6" width="13.6640625" customWidth="1"/>
    <col min="7" max="7" width="13" customWidth="1"/>
    <col min="8" max="8" width="13.5" customWidth="1"/>
    <col min="9" max="26" width="11.1640625" customWidth="1"/>
  </cols>
  <sheetData>
    <row r="1" spans="1:8" ht="15.75" customHeight="1" x14ac:dyDescent="0.2">
      <c r="A1" s="90" t="s">
        <v>255</v>
      </c>
      <c r="B1" s="74"/>
      <c r="C1" s="74"/>
      <c r="D1" s="74"/>
      <c r="E1" s="74"/>
      <c r="F1" s="74"/>
      <c r="G1" s="74"/>
      <c r="H1" s="75"/>
    </row>
    <row r="2" spans="1:8" ht="40.5" customHeight="1" x14ac:dyDescent="0.2">
      <c r="A2" s="91" t="s">
        <v>256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92" t="s">
        <v>16</v>
      </c>
      <c r="B8" s="3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  <c r="H8" s="4">
        <f t="shared" si="3"/>
        <v>67150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4">
        <f t="shared" si="7"/>
        <v>70507.5</v>
      </c>
      <c r="H12" s="4">
        <f t="shared" si="7"/>
        <v>70507.5</v>
      </c>
    </row>
    <row r="13" spans="1:8" ht="15.75" customHeight="1" x14ac:dyDescent="0.2">
      <c r="A13" s="93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266679.25</v>
      </c>
      <c r="D16" s="9">
        <f t="shared" si="11"/>
        <v>298029.25</v>
      </c>
      <c r="E16" s="9">
        <f t="shared" si="11"/>
        <v>312279.25</v>
      </c>
      <c r="F16" s="9">
        <f t="shared" si="11"/>
        <v>326529.25</v>
      </c>
      <c r="G16" s="9">
        <f t="shared" si="11"/>
        <v>343629.25</v>
      </c>
      <c r="H16" s="9">
        <f t="shared" si="11"/>
        <v>357879.25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44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44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73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73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9.5" customWidth="1"/>
    <col min="4" max="4" width="17" customWidth="1"/>
    <col min="5" max="5" width="10.6640625" customWidth="1"/>
    <col min="6" max="6" width="13.6640625" customWidth="1"/>
    <col min="7" max="7" width="13" customWidth="1"/>
    <col min="8" max="8" width="13.5" customWidth="1"/>
    <col min="9" max="26" width="11.1640625" customWidth="1"/>
  </cols>
  <sheetData>
    <row r="1" spans="1:8" ht="15.75" customHeight="1" x14ac:dyDescent="0.2">
      <c r="A1" s="90" t="s">
        <v>257</v>
      </c>
      <c r="B1" s="74"/>
      <c r="C1" s="74"/>
      <c r="D1" s="74"/>
      <c r="E1" s="74"/>
      <c r="F1" s="74"/>
      <c r="G1" s="74"/>
      <c r="H1" s="75"/>
    </row>
    <row r="2" spans="1:8" ht="42.75" customHeight="1" x14ac:dyDescent="0.2">
      <c r="A2" s="91" t="s">
        <v>258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24">
        <v>21000</v>
      </c>
      <c r="D5" s="24">
        <v>15500</v>
      </c>
      <c r="E5" s="24">
        <v>13000</v>
      </c>
      <c r="F5" s="24">
        <v>10500</v>
      </c>
      <c r="G5" s="24">
        <v>7500</v>
      </c>
      <c r="H5" s="24">
        <v>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95380</v>
      </c>
      <c r="E6" s="7">
        <f t="shared" si="1"/>
        <v>100130</v>
      </c>
      <c r="F6" s="7">
        <f t="shared" si="1"/>
        <v>104880</v>
      </c>
      <c r="G6" s="7">
        <f t="shared" si="1"/>
        <v>110580</v>
      </c>
      <c r="H6" s="7">
        <f t="shared" si="1"/>
        <v>115330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50200</v>
      </c>
      <c r="E7" s="7">
        <f t="shared" si="2"/>
        <v>52700</v>
      </c>
      <c r="F7" s="7">
        <f t="shared" si="2"/>
        <v>55200</v>
      </c>
      <c r="G7" s="7">
        <f t="shared" si="2"/>
        <v>58200</v>
      </c>
      <c r="H7" s="7">
        <f t="shared" si="2"/>
        <v>60700</v>
      </c>
    </row>
    <row r="8" spans="1:8" ht="15.75" customHeight="1" x14ac:dyDescent="0.2">
      <c r="A8" s="92" t="s">
        <v>16</v>
      </c>
      <c r="B8" s="3" t="s">
        <v>12</v>
      </c>
      <c r="C8" s="4">
        <v>67150</v>
      </c>
      <c r="D8" s="4">
        <f t="shared" ref="D8:H8" si="3">C8</f>
        <v>67150</v>
      </c>
      <c r="E8" s="4">
        <f t="shared" si="3"/>
        <v>67150</v>
      </c>
      <c r="F8" s="4">
        <f t="shared" si="3"/>
        <v>67150</v>
      </c>
      <c r="G8" s="4">
        <f t="shared" si="3"/>
        <v>67150</v>
      </c>
      <c r="H8" s="4">
        <f t="shared" si="3"/>
        <v>67150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15500</v>
      </c>
      <c r="E9" s="4">
        <f t="shared" si="4"/>
        <v>13000</v>
      </c>
      <c r="F9" s="4">
        <f t="shared" si="4"/>
        <v>10500</v>
      </c>
      <c r="G9" s="4">
        <f t="shared" si="4"/>
        <v>7500</v>
      </c>
      <c r="H9" s="4">
        <f t="shared" si="4"/>
        <v>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87685</v>
      </c>
      <c r="D10" s="7">
        <f t="shared" si="5"/>
        <v>98135</v>
      </c>
      <c r="E10" s="7">
        <f t="shared" si="5"/>
        <v>102885</v>
      </c>
      <c r="F10" s="7">
        <f t="shared" si="5"/>
        <v>107635</v>
      </c>
      <c r="G10" s="7">
        <f t="shared" si="5"/>
        <v>113335</v>
      </c>
      <c r="H10" s="7">
        <f t="shared" si="5"/>
        <v>118085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46150</v>
      </c>
      <c r="D11" s="7">
        <f t="shared" si="6"/>
        <v>51650</v>
      </c>
      <c r="E11" s="7">
        <f t="shared" si="6"/>
        <v>54150</v>
      </c>
      <c r="F11" s="7">
        <f t="shared" si="6"/>
        <v>56650</v>
      </c>
      <c r="G11" s="7">
        <f t="shared" si="6"/>
        <v>59650</v>
      </c>
      <c r="H11" s="7">
        <f t="shared" si="6"/>
        <v>62150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70507.5</v>
      </c>
      <c r="D12" s="4">
        <f t="shared" ref="D12:H12" si="7">C12</f>
        <v>70507.5</v>
      </c>
      <c r="E12" s="4">
        <f t="shared" si="7"/>
        <v>70507.5</v>
      </c>
      <c r="F12" s="4">
        <f t="shared" si="7"/>
        <v>70507.5</v>
      </c>
      <c r="G12" s="4">
        <f t="shared" si="7"/>
        <v>70507.5</v>
      </c>
      <c r="H12" s="4">
        <f t="shared" si="7"/>
        <v>70507.5</v>
      </c>
    </row>
    <row r="13" spans="1:8" ht="15.75" customHeight="1" x14ac:dyDescent="0.2">
      <c r="A13" s="93"/>
      <c r="B13" s="3" t="s">
        <v>13</v>
      </c>
      <c r="C13" s="4">
        <f t="shared" ref="C13:H13" si="8">C9</f>
        <v>21000</v>
      </c>
      <c r="D13" s="4">
        <f t="shared" si="8"/>
        <v>15500</v>
      </c>
      <c r="E13" s="4">
        <f t="shared" si="8"/>
        <v>13000</v>
      </c>
      <c r="F13" s="4">
        <f t="shared" si="8"/>
        <v>10500</v>
      </c>
      <c r="G13" s="4">
        <f t="shared" si="8"/>
        <v>7500</v>
      </c>
      <c r="H13" s="4">
        <f t="shared" si="8"/>
        <v>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94064.25</v>
      </c>
      <c r="D14" s="7">
        <f t="shared" si="9"/>
        <v>104514.25</v>
      </c>
      <c r="E14" s="7">
        <f t="shared" si="9"/>
        <v>109264.25</v>
      </c>
      <c r="F14" s="7">
        <f t="shared" si="9"/>
        <v>114014.25</v>
      </c>
      <c r="G14" s="7">
        <f t="shared" si="9"/>
        <v>119714.25</v>
      </c>
      <c r="H14" s="7">
        <f t="shared" si="9"/>
        <v>124464.25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49507.5</v>
      </c>
      <c r="D15" s="7">
        <f t="shared" si="10"/>
        <v>55007.5</v>
      </c>
      <c r="E15" s="7">
        <f t="shared" si="10"/>
        <v>57507.5</v>
      </c>
      <c r="F15" s="7">
        <f t="shared" si="10"/>
        <v>60007.5</v>
      </c>
      <c r="G15" s="7">
        <f t="shared" si="10"/>
        <v>63007.5</v>
      </c>
      <c r="H15" s="7">
        <f t="shared" si="10"/>
        <v>65507.5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266679.25</v>
      </c>
      <c r="D16" s="9">
        <f t="shared" si="11"/>
        <v>298029.25</v>
      </c>
      <c r="E16" s="9">
        <f t="shared" si="11"/>
        <v>312279.25</v>
      </c>
      <c r="F16" s="9">
        <f t="shared" si="11"/>
        <v>326529.25</v>
      </c>
      <c r="G16" s="9">
        <f t="shared" si="11"/>
        <v>343629.25</v>
      </c>
      <c r="H16" s="9">
        <f t="shared" si="11"/>
        <v>357879.25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44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44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0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0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182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27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73" t="s">
        <v>28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95" t="s">
        <v>29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>
      <c r="A26" s="95" t="s">
        <v>30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1000"/>
  <sheetViews>
    <sheetView topLeftCell="A16" workbookViewId="0">
      <selection sqref="A1:G1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5" width="10.6640625" customWidth="1"/>
    <col min="6" max="6" width="23.1640625" customWidth="1"/>
    <col min="7" max="7" width="10.6640625" customWidth="1"/>
    <col min="8" max="26" width="11.1640625" customWidth="1"/>
  </cols>
  <sheetData>
    <row r="1" spans="1:7" ht="15.75" customHeight="1" x14ac:dyDescent="0.2">
      <c r="A1" s="90" t="s">
        <v>259</v>
      </c>
      <c r="B1" s="74"/>
      <c r="C1" s="74"/>
      <c r="D1" s="74"/>
      <c r="E1" s="74"/>
      <c r="F1" s="74"/>
      <c r="G1" s="75"/>
    </row>
    <row r="2" spans="1:7" ht="57.75" customHeight="1" x14ac:dyDescent="0.2">
      <c r="A2" s="91" t="s">
        <v>260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261</v>
      </c>
      <c r="D3" s="2" t="s">
        <v>262</v>
      </c>
      <c r="E3" s="2" t="s">
        <v>263</v>
      </c>
      <c r="F3" s="2" t="s">
        <v>264</v>
      </c>
      <c r="G3" s="2" t="s">
        <v>265</v>
      </c>
    </row>
    <row r="4" spans="1:7" ht="15.75" customHeight="1" x14ac:dyDescent="0.2">
      <c r="A4" s="92" t="s">
        <v>11</v>
      </c>
      <c r="B4" s="3" t="s">
        <v>12</v>
      </c>
      <c r="C4" s="4">
        <v>125700</v>
      </c>
      <c r="D4" s="4">
        <f t="shared" ref="D4:G4" si="0">C4</f>
        <v>125700</v>
      </c>
      <c r="E4" s="4">
        <f t="shared" si="0"/>
        <v>125700</v>
      </c>
      <c r="F4" s="4">
        <f t="shared" si="0"/>
        <v>125700</v>
      </c>
      <c r="G4" s="4">
        <f t="shared" si="0"/>
        <v>125700</v>
      </c>
    </row>
    <row r="5" spans="1:7" ht="15.75" customHeight="1" x14ac:dyDescent="0.2">
      <c r="A5" s="93"/>
      <c r="B5" s="3" t="s">
        <v>13</v>
      </c>
      <c r="C5" s="24">
        <v>24000</v>
      </c>
      <c r="D5" s="24">
        <v>17000</v>
      </c>
      <c r="E5" s="24">
        <v>13000</v>
      </c>
      <c r="F5" s="24">
        <v>9000</v>
      </c>
      <c r="G5" s="24">
        <v>5000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193230</v>
      </c>
      <c r="D6" s="7">
        <f t="shared" si="1"/>
        <v>206530</v>
      </c>
      <c r="E6" s="7">
        <f t="shared" si="1"/>
        <v>214130</v>
      </c>
      <c r="F6" s="7">
        <f t="shared" si="1"/>
        <v>221730</v>
      </c>
      <c r="G6" s="7">
        <f t="shared" si="1"/>
        <v>229330</v>
      </c>
    </row>
    <row r="7" spans="1:7" ht="15.75" customHeight="1" x14ac:dyDescent="0.2">
      <c r="A7" s="94"/>
      <c r="B7" s="6" t="s">
        <v>15</v>
      </c>
      <c r="C7" s="7">
        <f t="shared" ref="C7:G7" si="2">(C4-C5)</f>
        <v>101700</v>
      </c>
      <c r="D7" s="7">
        <f t="shared" si="2"/>
        <v>108700</v>
      </c>
      <c r="E7" s="7">
        <f t="shared" si="2"/>
        <v>112700</v>
      </c>
      <c r="F7" s="7">
        <f t="shared" si="2"/>
        <v>116700</v>
      </c>
      <c r="G7" s="7">
        <f t="shared" si="2"/>
        <v>120700</v>
      </c>
    </row>
    <row r="8" spans="1:7" ht="15.75" customHeight="1" x14ac:dyDescent="0.2">
      <c r="A8" s="92" t="s">
        <v>16</v>
      </c>
      <c r="B8" s="3" t="s">
        <v>12</v>
      </c>
      <c r="C8" s="4">
        <v>130150</v>
      </c>
      <c r="D8" s="4">
        <f t="shared" ref="D8:G8" si="3">C8</f>
        <v>130150</v>
      </c>
      <c r="E8" s="4">
        <f t="shared" si="3"/>
        <v>130150</v>
      </c>
      <c r="F8" s="4">
        <f t="shared" si="3"/>
        <v>130150</v>
      </c>
      <c r="G8" s="4">
        <f t="shared" si="3"/>
        <v>130150</v>
      </c>
    </row>
    <row r="9" spans="1:7" ht="15.75" customHeight="1" x14ac:dyDescent="0.2">
      <c r="A9" s="93"/>
      <c r="B9" s="3" t="s">
        <v>13</v>
      </c>
      <c r="C9" s="4">
        <f t="shared" ref="C9:G9" si="4">C5</f>
        <v>24000</v>
      </c>
      <c r="D9" s="4">
        <f t="shared" si="4"/>
        <v>17000</v>
      </c>
      <c r="E9" s="4">
        <f t="shared" si="4"/>
        <v>13000</v>
      </c>
      <c r="F9" s="4">
        <f t="shared" si="4"/>
        <v>9000</v>
      </c>
      <c r="G9" s="4">
        <f t="shared" si="4"/>
        <v>5000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201685</v>
      </c>
      <c r="D10" s="7">
        <f t="shared" si="5"/>
        <v>214985</v>
      </c>
      <c r="E10" s="7">
        <f t="shared" si="5"/>
        <v>222585</v>
      </c>
      <c r="F10" s="7">
        <f t="shared" si="5"/>
        <v>230185</v>
      </c>
      <c r="G10" s="7">
        <f t="shared" si="5"/>
        <v>237785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106150</v>
      </c>
      <c r="D11" s="7">
        <f t="shared" si="6"/>
        <v>113150</v>
      </c>
      <c r="E11" s="7">
        <f t="shared" si="6"/>
        <v>117150</v>
      </c>
      <c r="F11" s="7">
        <f t="shared" si="6"/>
        <v>121150</v>
      </c>
      <c r="G11" s="7">
        <f t="shared" si="6"/>
        <v>125150</v>
      </c>
    </row>
    <row r="12" spans="1:7" ht="15.75" customHeight="1" x14ac:dyDescent="0.2">
      <c r="A12" s="92" t="s">
        <v>17</v>
      </c>
      <c r="B12" s="3" t="s">
        <v>12</v>
      </c>
      <c r="C12" s="4">
        <f>C8*1.05</f>
        <v>136657.5</v>
      </c>
      <c r="D12" s="4">
        <f t="shared" ref="D12:G12" si="7">C12</f>
        <v>136657.5</v>
      </c>
      <c r="E12" s="4">
        <f t="shared" si="7"/>
        <v>136657.5</v>
      </c>
      <c r="F12" s="4">
        <f t="shared" si="7"/>
        <v>136657.5</v>
      </c>
      <c r="G12" s="4">
        <f t="shared" si="7"/>
        <v>136657.5</v>
      </c>
    </row>
    <row r="13" spans="1:7" ht="15.75" customHeight="1" x14ac:dyDescent="0.2">
      <c r="A13" s="93"/>
      <c r="B13" s="3" t="s">
        <v>13</v>
      </c>
      <c r="C13" s="4">
        <f t="shared" ref="C13:G13" si="8">C9</f>
        <v>24000</v>
      </c>
      <c r="D13" s="4">
        <f t="shared" si="8"/>
        <v>17000</v>
      </c>
      <c r="E13" s="4">
        <f t="shared" si="8"/>
        <v>13000</v>
      </c>
      <c r="F13" s="4">
        <f t="shared" si="8"/>
        <v>9000</v>
      </c>
      <c r="G13" s="4">
        <f t="shared" si="8"/>
        <v>5000</v>
      </c>
    </row>
    <row r="14" spans="1:7" ht="15.75" customHeight="1" x14ac:dyDescent="0.2">
      <c r="A14" s="93"/>
      <c r="B14" s="6" t="s">
        <v>14</v>
      </c>
      <c r="C14" s="7">
        <f t="shared" ref="C14:G14" si="9">(C12-C13)*2*0.95</f>
        <v>214049.25</v>
      </c>
      <c r="D14" s="7">
        <f t="shared" si="9"/>
        <v>227349.25</v>
      </c>
      <c r="E14" s="7">
        <f t="shared" si="9"/>
        <v>234949.25</v>
      </c>
      <c r="F14" s="7">
        <f t="shared" si="9"/>
        <v>242549.25</v>
      </c>
      <c r="G14" s="7">
        <f t="shared" si="9"/>
        <v>250149.25</v>
      </c>
    </row>
    <row r="15" spans="1:7" ht="15.75" customHeight="1" x14ac:dyDescent="0.2">
      <c r="A15" s="94"/>
      <c r="B15" s="6" t="s">
        <v>15</v>
      </c>
      <c r="C15" s="7">
        <f t="shared" ref="C15:G15" si="10">(C12-C13)</f>
        <v>112657.5</v>
      </c>
      <c r="D15" s="7">
        <f t="shared" si="10"/>
        <v>119657.5</v>
      </c>
      <c r="E15" s="7">
        <f t="shared" si="10"/>
        <v>123657.5</v>
      </c>
      <c r="F15" s="7">
        <f t="shared" si="10"/>
        <v>127657.5</v>
      </c>
      <c r="G15" s="7">
        <f t="shared" si="10"/>
        <v>131657.5</v>
      </c>
    </row>
    <row r="16" spans="1:7" ht="15.75" customHeight="1" x14ac:dyDescent="0.2">
      <c r="A16" s="92" t="s">
        <v>18</v>
      </c>
      <c r="B16" s="3" t="s">
        <v>12</v>
      </c>
      <c r="C16" s="4">
        <f>C12*1.05</f>
        <v>143490.375</v>
      </c>
      <c r="D16" s="4">
        <f t="shared" ref="D16:G16" si="11">C16</f>
        <v>143490.375</v>
      </c>
      <c r="E16" s="4">
        <f t="shared" si="11"/>
        <v>143490.375</v>
      </c>
      <c r="F16" s="4">
        <f t="shared" si="11"/>
        <v>143490.375</v>
      </c>
      <c r="G16" s="4">
        <f t="shared" si="11"/>
        <v>143490.375</v>
      </c>
    </row>
    <row r="17" spans="1:7" ht="15.75" customHeight="1" x14ac:dyDescent="0.2">
      <c r="A17" s="93"/>
      <c r="B17" s="3" t="s">
        <v>13</v>
      </c>
      <c r="C17" s="4">
        <f t="shared" ref="C17:G17" si="12">C13</f>
        <v>24000</v>
      </c>
      <c r="D17" s="4">
        <f t="shared" si="12"/>
        <v>17000</v>
      </c>
      <c r="E17" s="4">
        <f t="shared" si="12"/>
        <v>13000</v>
      </c>
      <c r="F17" s="4">
        <f t="shared" si="12"/>
        <v>9000</v>
      </c>
      <c r="G17" s="4">
        <f t="shared" si="12"/>
        <v>5000</v>
      </c>
    </row>
    <row r="18" spans="1:7" ht="15.75" customHeight="1" x14ac:dyDescent="0.2">
      <c r="A18" s="93"/>
      <c r="B18" s="6" t="s">
        <v>14</v>
      </c>
      <c r="C18" s="7">
        <f t="shared" ref="C18:G18" si="13">(C16-C17)*2*0.95</f>
        <v>227031.71249999999</v>
      </c>
      <c r="D18" s="7">
        <f t="shared" si="13"/>
        <v>240331.71249999999</v>
      </c>
      <c r="E18" s="7">
        <f t="shared" si="13"/>
        <v>247931.71249999999</v>
      </c>
      <c r="F18" s="7">
        <f t="shared" si="13"/>
        <v>255531.71249999999</v>
      </c>
      <c r="G18" s="7">
        <f t="shared" si="13"/>
        <v>263131.71249999997</v>
      </c>
    </row>
    <row r="19" spans="1:7" ht="15.75" customHeight="1" x14ac:dyDescent="0.2">
      <c r="A19" s="94"/>
      <c r="B19" s="6" t="s">
        <v>15</v>
      </c>
      <c r="C19" s="7">
        <f t="shared" ref="C19:G19" si="14">(C16-C17)</f>
        <v>119490.375</v>
      </c>
      <c r="D19" s="7">
        <f t="shared" si="14"/>
        <v>126490.375</v>
      </c>
      <c r="E19" s="7">
        <f t="shared" si="14"/>
        <v>130490.375</v>
      </c>
      <c r="F19" s="7">
        <f t="shared" si="14"/>
        <v>134490.375</v>
      </c>
      <c r="G19" s="7">
        <f t="shared" si="14"/>
        <v>138490.375</v>
      </c>
    </row>
    <row r="20" spans="1:7" ht="15.75" customHeight="1" x14ac:dyDescent="0.2">
      <c r="A20" s="76" t="s">
        <v>19</v>
      </c>
      <c r="B20" s="75"/>
      <c r="C20" s="9">
        <f t="shared" ref="C20:G20" si="15">SUM(C6,C10,C14,C18)</f>
        <v>835995.96250000002</v>
      </c>
      <c r="D20" s="9">
        <f t="shared" si="15"/>
        <v>889195.96250000002</v>
      </c>
      <c r="E20" s="9">
        <f t="shared" si="15"/>
        <v>919595.96250000002</v>
      </c>
      <c r="F20" s="9">
        <f t="shared" si="15"/>
        <v>949995.96250000002</v>
      </c>
      <c r="G20" s="9">
        <f t="shared" si="15"/>
        <v>980395.96249999991</v>
      </c>
    </row>
    <row r="21" spans="1:7" ht="15.75" customHeight="1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78"/>
    </row>
    <row r="22" spans="1:7" ht="15.75" customHeight="1" x14ac:dyDescent="0.2">
      <c r="A22" s="79"/>
      <c r="B22" s="80"/>
      <c r="C22" s="83" t="s">
        <v>22</v>
      </c>
      <c r="D22" s="75"/>
      <c r="E22" s="44">
        <v>5000</v>
      </c>
      <c r="F22" s="79"/>
      <c r="G22" s="80"/>
    </row>
    <row r="23" spans="1:7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0"/>
    </row>
    <row r="24" spans="1:7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0"/>
    </row>
    <row r="25" spans="1:7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2"/>
    </row>
    <row r="26" spans="1:7" ht="15.75" customHeight="1" x14ac:dyDescent="0.2">
      <c r="A26" s="73" t="s">
        <v>27</v>
      </c>
      <c r="B26" s="74"/>
      <c r="C26" s="74"/>
      <c r="D26" s="74"/>
      <c r="E26" s="74"/>
      <c r="F26" s="74"/>
      <c r="G26" s="75"/>
    </row>
    <row r="27" spans="1:7" ht="15.75" customHeight="1" x14ac:dyDescent="0.2">
      <c r="A27" s="73" t="s">
        <v>28</v>
      </c>
      <c r="B27" s="74"/>
      <c r="C27" s="74"/>
      <c r="D27" s="74"/>
      <c r="E27" s="74"/>
      <c r="F27" s="74"/>
      <c r="G27" s="75"/>
    </row>
    <row r="28" spans="1:7" ht="15.75" customHeight="1" x14ac:dyDescent="0.2">
      <c r="A28" s="73" t="s">
        <v>29</v>
      </c>
      <c r="B28" s="74"/>
      <c r="C28" s="74"/>
      <c r="D28" s="74"/>
      <c r="E28" s="74"/>
      <c r="F28" s="74"/>
      <c r="G28" s="75"/>
    </row>
    <row r="29" spans="1:7" ht="15.75" customHeight="1" x14ac:dyDescent="0.2">
      <c r="A29" s="73" t="s">
        <v>30</v>
      </c>
      <c r="B29" s="74"/>
      <c r="C29" s="74"/>
      <c r="D29" s="74"/>
      <c r="E29" s="74"/>
      <c r="F29" s="74"/>
      <c r="G29" s="75"/>
    </row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G1"/>
    <mergeCell ref="A2:G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992"/>
  <sheetViews>
    <sheetView workbookViewId="0">
      <selection activeCell="C8" sqref="C8"/>
    </sheetView>
  </sheetViews>
  <sheetFormatPr baseColWidth="10" defaultColWidth="11.1640625" defaultRowHeight="15" customHeight="1" x14ac:dyDescent="0.2"/>
  <cols>
    <col min="1" max="1" width="10.6640625" customWidth="1"/>
    <col min="2" max="2" width="20" bestFit="1" customWidth="1"/>
    <col min="3" max="10" width="10.6640625" customWidth="1"/>
    <col min="11" max="26" width="11.1640625" customWidth="1"/>
  </cols>
  <sheetData>
    <row r="1" spans="1:10" ht="15.75" customHeight="1" x14ac:dyDescent="0.2">
      <c r="A1" s="90" t="s">
        <v>266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ht="39" customHeight="1" x14ac:dyDescent="0.2">
      <c r="A2" s="91" t="s">
        <v>267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51" customHeight="1" x14ac:dyDescent="0.2">
      <c r="A3" s="1" t="s">
        <v>2</v>
      </c>
      <c r="B3" s="1" t="s">
        <v>3</v>
      </c>
      <c r="C3" s="2" t="s">
        <v>268</v>
      </c>
      <c r="D3" s="2" t="s">
        <v>269</v>
      </c>
      <c r="E3" s="2" t="s">
        <v>270</v>
      </c>
      <c r="F3" s="2" t="s">
        <v>271</v>
      </c>
      <c r="G3" s="2" t="s">
        <v>272</v>
      </c>
      <c r="H3" s="2" t="s">
        <v>273</v>
      </c>
      <c r="I3" s="2" t="s">
        <v>274</v>
      </c>
      <c r="J3" s="2" t="s">
        <v>275</v>
      </c>
    </row>
    <row r="4" spans="1:10" ht="15.75" customHeight="1" x14ac:dyDescent="0.2">
      <c r="A4" s="92" t="s">
        <v>11</v>
      </c>
      <c r="B4" s="3" t="s">
        <v>12</v>
      </c>
      <c r="C4" s="4">
        <v>53700</v>
      </c>
      <c r="D4" s="4">
        <f t="shared" ref="D4:J4" si="0">C4</f>
        <v>53700</v>
      </c>
      <c r="E4" s="4">
        <f t="shared" si="0"/>
        <v>53700</v>
      </c>
      <c r="F4" s="4">
        <f t="shared" si="0"/>
        <v>53700</v>
      </c>
      <c r="G4" s="4">
        <f t="shared" si="0"/>
        <v>53700</v>
      </c>
      <c r="H4" s="4">
        <f t="shared" si="0"/>
        <v>53700</v>
      </c>
      <c r="I4" s="4">
        <f t="shared" si="0"/>
        <v>53700</v>
      </c>
      <c r="J4" s="4">
        <f t="shared" si="0"/>
        <v>53700</v>
      </c>
    </row>
    <row r="5" spans="1:10" ht="15.75" customHeight="1" x14ac:dyDescent="0.2">
      <c r="A5" s="93"/>
      <c r="B5" s="3" t="s">
        <v>13</v>
      </c>
      <c r="C5" s="5">
        <v>12000</v>
      </c>
      <c r="D5" s="5">
        <v>10000</v>
      </c>
      <c r="E5" s="5">
        <v>9000</v>
      </c>
      <c r="F5" s="5">
        <v>8000</v>
      </c>
      <c r="G5" s="5">
        <v>7000</v>
      </c>
      <c r="H5" s="5">
        <v>6000</v>
      </c>
      <c r="I5" s="5">
        <v>5000</v>
      </c>
      <c r="J5" s="5">
        <v>3000</v>
      </c>
    </row>
    <row r="6" spans="1:10" ht="15.75" customHeight="1" x14ac:dyDescent="0.2">
      <c r="A6" s="93"/>
      <c r="B6" s="6" t="s">
        <v>14</v>
      </c>
      <c r="C6" s="7">
        <f t="shared" ref="C6:J6" si="1">(C4-C5)*2*0.95</f>
        <v>79230</v>
      </c>
      <c r="D6" s="7">
        <f t="shared" si="1"/>
        <v>83030</v>
      </c>
      <c r="E6" s="7">
        <f t="shared" si="1"/>
        <v>84930</v>
      </c>
      <c r="F6" s="7">
        <f t="shared" si="1"/>
        <v>86830</v>
      </c>
      <c r="G6" s="7">
        <f t="shared" si="1"/>
        <v>88730</v>
      </c>
      <c r="H6" s="7">
        <f t="shared" si="1"/>
        <v>90630</v>
      </c>
      <c r="I6" s="7">
        <f t="shared" si="1"/>
        <v>92530</v>
      </c>
      <c r="J6" s="7">
        <f t="shared" si="1"/>
        <v>96330</v>
      </c>
    </row>
    <row r="7" spans="1:10" ht="15.75" customHeight="1" x14ac:dyDescent="0.2">
      <c r="A7" s="94"/>
      <c r="B7" s="6" t="s">
        <v>15</v>
      </c>
      <c r="C7" s="7">
        <f t="shared" ref="C7:J7" si="2">(C4-C5)</f>
        <v>41700</v>
      </c>
      <c r="D7" s="7">
        <f t="shared" si="2"/>
        <v>43700</v>
      </c>
      <c r="E7" s="7">
        <f t="shared" si="2"/>
        <v>44700</v>
      </c>
      <c r="F7" s="7">
        <f t="shared" si="2"/>
        <v>45700</v>
      </c>
      <c r="G7" s="7">
        <f t="shared" si="2"/>
        <v>46700</v>
      </c>
      <c r="H7" s="7">
        <f t="shared" si="2"/>
        <v>47700</v>
      </c>
      <c r="I7" s="7">
        <f t="shared" si="2"/>
        <v>48700</v>
      </c>
      <c r="J7" s="7">
        <f t="shared" si="2"/>
        <v>50700</v>
      </c>
    </row>
    <row r="8" spans="1:10" ht="15.75" customHeight="1" x14ac:dyDescent="0.2">
      <c r="A8" s="92" t="s">
        <v>16</v>
      </c>
      <c r="B8" s="3" t="s">
        <v>12</v>
      </c>
      <c r="C8" s="4">
        <v>55550</v>
      </c>
      <c r="D8" s="4">
        <f t="shared" ref="D8:J8" si="3">C8</f>
        <v>55550</v>
      </c>
      <c r="E8" s="4">
        <f t="shared" si="3"/>
        <v>55550</v>
      </c>
      <c r="F8" s="4">
        <f t="shared" si="3"/>
        <v>55550</v>
      </c>
      <c r="G8" s="4">
        <f t="shared" si="3"/>
        <v>55550</v>
      </c>
      <c r="H8" s="4">
        <f t="shared" si="3"/>
        <v>55550</v>
      </c>
      <c r="I8" s="4">
        <f t="shared" si="3"/>
        <v>55550</v>
      </c>
      <c r="J8" s="4">
        <f t="shared" si="3"/>
        <v>55550</v>
      </c>
    </row>
    <row r="9" spans="1:10" ht="15.75" customHeight="1" x14ac:dyDescent="0.2">
      <c r="A9" s="93"/>
      <c r="B9" s="3" t="s">
        <v>13</v>
      </c>
      <c r="C9" s="4">
        <f t="shared" ref="C9:J9" si="4">C5</f>
        <v>12000</v>
      </c>
      <c r="D9" s="4">
        <f t="shared" si="4"/>
        <v>10000</v>
      </c>
      <c r="E9" s="4">
        <f t="shared" si="4"/>
        <v>9000</v>
      </c>
      <c r="F9" s="4">
        <f t="shared" si="4"/>
        <v>8000</v>
      </c>
      <c r="G9" s="4">
        <f t="shared" si="4"/>
        <v>7000</v>
      </c>
      <c r="H9" s="4">
        <f t="shared" si="4"/>
        <v>6000</v>
      </c>
      <c r="I9" s="4">
        <f t="shared" si="4"/>
        <v>5000</v>
      </c>
      <c r="J9" s="4">
        <f t="shared" si="4"/>
        <v>3000</v>
      </c>
    </row>
    <row r="10" spans="1:10" ht="15.75" customHeight="1" x14ac:dyDescent="0.2">
      <c r="A10" s="93"/>
      <c r="B10" s="6" t="s">
        <v>14</v>
      </c>
      <c r="C10" s="7">
        <f t="shared" ref="C10:J10" si="5">(C8-C9)*2*0.95</f>
        <v>82745</v>
      </c>
      <c r="D10" s="7">
        <f t="shared" si="5"/>
        <v>86545</v>
      </c>
      <c r="E10" s="7">
        <f t="shared" si="5"/>
        <v>88445</v>
      </c>
      <c r="F10" s="7">
        <f t="shared" si="5"/>
        <v>90345</v>
      </c>
      <c r="G10" s="7">
        <f t="shared" si="5"/>
        <v>92245</v>
      </c>
      <c r="H10" s="7">
        <f t="shared" si="5"/>
        <v>94145</v>
      </c>
      <c r="I10" s="7">
        <f t="shared" si="5"/>
        <v>96045</v>
      </c>
      <c r="J10" s="7">
        <f t="shared" si="5"/>
        <v>99845</v>
      </c>
    </row>
    <row r="11" spans="1:10" ht="15.75" customHeight="1" x14ac:dyDescent="0.2">
      <c r="A11" s="94"/>
      <c r="B11" s="6" t="s">
        <v>15</v>
      </c>
      <c r="C11" s="7">
        <f t="shared" ref="C11:J11" si="6">(C8-C9)</f>
        <v>43550</v>
      </c>
      <c r="D11" s="7">
        <f t="shared" si="6"/>
        <v>45550</v>
      </c>
      <c r="E11" s="7">
        <f t="shared" si="6"/>
        <v>46550</v>
      </c>
      <c r="F11" s="7">
        <f t="shared" si="6"/>
        <v>47550</v>
      </c>
      <c r="G11" s="7">
        <f t="shared" si="6"/>
        <v>48550</v>
      </c>
      <c r="H11" s="7">
        <f t="shared" si="6"/>
        <v>49550</v>
      </c>
      <c r="I11" s="7">
        <f t="shared" si="6"/>
        <v>50550</v>
      </c>
      <c r="J11" s="7">
        <f t="shared" si="6"/>
        <v>52550</v>
      </c>
    </row>
    <row r="12" spans="1:10" ht="15.75" customHeight="1" x14ac:dyDescent="0.2">
      <c r="A12" s="76" t="s">
        <v>19</v>
      </c>
      <c r="B12" s="75"/>
      <c r="C12" s="9">
        <f>SUM(C6,C10)</f>
        <v>161975</v>
      </c>
      <c r="D12" s="9">
        <f t="shared" ref="D12:J12" si="7">SUM(D6,D10)</f>
        <v>169575</v>
      </c>
      <c r="E12" s="9">
        <f t="shared" si="7"/>
        <v>173375</v>
      </c>
      <c r="F12" s="9">
        <f t="shared" si="7"/>
        <v>177175</v>
      </c>
      <c r="G12" s="9">
        <f t="shared" si="7"/>
        <v>180975</v>
      </c>
      <c r="H12" s="9">
        <f t="shared" si="7"/>
        <v>184775</v>
      </c>
      <c r="I12" s="9">
        <f t="shared" si="7"/>
        <v>188575</v>
      </c>
      <c r="J12" s="9">
        <f t="shared" si="7"/>
        <v>196175</v>
      </c>
    </row>
    <row r="13" spans="1:10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85"/>
      <c r="H13" s="85"/>
      <c r="I13" s="85"/>
      <c r="J13" s="78"/>
    </row>
    <row r="14" spans="1:10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6"/>
      <c r="H14" s="86"/>
      <c r="I14" s="86"/>
      <c r="J14" s="80"/>
    </row>
    <row r="15" spans="1:10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6"/>
      <c r="H15" s="86"/>
      <c r="I15" s="86"/>
      <c r="J15" s="80"/>
    </row>
    <row r="16" spans="1:10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6"/>
      <c r="H16" s="86"/>
      <c r="I16" s="86"/>
      <c r="J16" s="80"/>
    </row>
    <row r="17" spans="1:10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7"/>
      <c r="H17" s="87"/>
      <c r="I17" s="87"/>
      <c r="J17" s="82"/>
    </row>
    <row r="18" spans="1:10" ht="15.75" customHeight="1" x14ac:dyDescent="0.2">
      <c r="A18" s="151" t="s">
        <v>27</v>
      </c>
      <c r="B18" s="85"/>
      <c r="C18" s="85"/>
      <c r="D18" s="85"/>
      <c r="E18" s="85"/>
      <c r="F18" s="85"/>
      <c r="G18" s="85"/>
      <c r="H18" s="85"/>
      <c r="I18" s="85"/>
      <c r="J18" s="85"/>
    </row>
    <row r="19" spans="1:10" ht="15.75" customHeight="1" x14ac:dyDescent="0.2">
      <c r="A19" s="151" t="s">
        <v>28</v>
      </c>
      <c r="B19" s="85"/>
      <c r="C19" s="85"/>
      <c r="D19" s="85"/>
      <c r="E19" s="85"/>
      <c r="F19" s="85"/>
      <c r="G19" s="85"/>
      <c r="H19" s="85"/>
      <c r="I19" s="85"/>
      <c r="J19" s="85"/>
    </row>
    <row r="20" spans="1:10" ht="15.75" customHeight="1" x14ac:dyDescent="0.2">
      <c r="A20" s="151" t="s">
        <v>29</v>
      </c>
      <c r="B20" s="85"/>
      <c r="C20" s="85"/>
      <c r="D20" s="85"/>
      <c r="E20" s="85"/>
      <c r="F20" s="85"/>
      <c r="G20" s="85"/>
      <c r="H20" s="85"/>
      <c r="I20" s="85"/>
      <c r="J20" s="85"/>
    </row>
    <row r="21" spans="1:10" ht="15.75" customHeight="1" x14ac:dyDescent="0.2">
      <c r="A21" s="104" t="s">
        <v>30</v>
      </c>
      <c r="B21" s="98"/>
      <c r="C21" s="98"/>
      <c r="D21" s="98"/>
      <c r="E21" s="98"/>
      <c r="F21" s="98"/>
      <c r="G21" s="98"/>
      <c r="H21" s="98"/>
      <c r="I21" s="98"/>
      <c r="J21" s="98"/>
    </row>
    <row r="22" spans="1:10" ht="15.75" customHeight="1" x14ac:dyDescent="0.2"/>
    <row r="23" spans="1:10" ht="15.75" customHeight="1" x14ac:dyDescent="0.2"/>
    <row r="24" spans="1:10" ht="15.75" customHeight="1" x14ac:dyDescent="0.2"/>
    <row r="25" spans="1:10" ht="15.75" customHeight="1" x14ac:dyDescent="0.2"/>
    <row r="26" spans="1:10" ht="15.75" customHeight="1" x14ac:dyDescent="0.2"/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mergeCells count="17">
    <mergeCell ref="A1:J1"/>
    <mergeCell ref="A2:J2"/>
    <mergeCell ref="A4:A7"/>
    <mergeCell ref="A8:A11"/>
    <mergeCell ref="A18:J18"/>
    <mergeCell ref="A19:J19"/>
    <mergeCell ref="A20:J20"/>
    <mergeCell ref="A21:J21"/>
    <mergeCell ref="A12:B12"/>
    <mergeCell ref="A13:B15"/>
    <mergeCell ref="C13:D13"/>
    <mergeCell ref="F13:J17"/>
    <mergeCell ref="C14:D14"/>
    <mergeCell ref="C15:D15"/>
    <mergeCell ref="A16:B17"/>
    <mergeCell ref="C16:D16"/>
    <mergeCell ref="C17:D17"/>
  </mergeCells>
  <pageMargins left="0.7" right="0.7" top="0.75" bottom="0.75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996"/>
  <sheetViews>
    <sheetView workbookViewId="0">
      <selection activeCell="M12" sqref="M12"/>
    </sheetView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0" t="s">
        <v>276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ht="39" customHeight="1" x14ac:dyDescent="0.2">
      <c r="A2" s="91" t="s">
        <v>277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31" customHeight="1" x14ac:dyDescent="0.2">
      <c r="A3" s="1" t="s">
        <v>2</v>
      </c>
      <c r="B3" s="1" t="s">
        <v>3</v>
      </c>
      <c r="C3" s="2" t="s">
        <v>268</v>
      </c>
      <c r="D3" s="2" t="s">
        <v>269</v>
      </c>
      <c r="E3" s="2" t="s">
        <v>270</v>
      </c>
      <c r="F3" s="2" t="s">
        <v>271</v>
      </c>
      <c r="G3" s="2" t="s">
        <v>272</v>
      </c>
      <c r="H3" s="2" t="s">
        <v>273</v>
      </c>
      <c r="I3" s="2" t="s">
        <v>274</v>
      </c>
      <c r="J3" s="2" t="s">
        <v>275</v>
      </c>
    </row>
    <row r="4" spans="1:10" ht="15.75" customHeight="1" x14ac:dyDescent="0.2">
      <c r="A4" s="92" t="s">
        <v>11</v>
      </c>
      <c r="B4" s="3" t="s">
        <v>12</v>
      </c>
      <c r="C4" s="4">
        <v>79000</v>
      </c>
      <c r="D4" s="4">
        <f t="shared" ref="D4:J4" si="0">C4</f>
        <v>79000</v>
      </c>
      <c r="E4" s="4">
        <f t="shared" si="0"/>
        <v>79000</v>
      </c>
      <c r="F4" s="4">
        <f t="shared" si="0"/>
        <v>79000</v>
      </c>
      <c r="G4" s="4">
        <f t="shared" si="0"/>
        <v>79000</v>
      </c>
      <c r="H4" s="4">
        <f t="shared" si="0"/>
        <v>79000</v>
      </c>
      <c r="I4" s="4">
        <f t="shared" si="0"/>
        <v>79000</v>
      </c>
      <c r="J4" s="4">
        <f t="shared" si="0"/>
        <v>79000</v>
      </c>
    </row>
    <row r="5" spans="1:10" ht="15.75" customHeight="1" x14ac:dyDescent="0.2">
      <c r="A5" s="93"/>
      <c r="B5" s="3" t="s">
        <v>13</v>
      </c>
      <c r="C5" s="5">
        <v>18000</v>
      </c>
      <c r="D5" s="5">
        <v>16000</v>
      </c>
      <c r="E5" s="5">
        <v>13500</v>
      </c>
      <c r="F5" s="5">
        <v>11500</v>
      </c>
      <c r="G5" s="5">
        <v>9500</v>
      </c>
      <c r="H5" s="5">
        <v>7500</v>
      </c>
      <c r="I5" s="5">
        <v>5000</v>
      </c>
      <c r="J5" s="5">
        <v>3000</v>
      </c>
    </row>
    <row r="6" spans="1:10" ht="15.75" customHeight="1" x14ac:dyDescent="0.2">
      <c r="A6" s="93"/>
      <c r="B6" s="6" t="s">
        <v>14</v>
      </c>
      <c r="C6" s="7">
        <f t="shared" ref="C6:J6" si="1">(C4-C5)*2*0.95</f>
        <v>115900</v>
      </c>
      <c r="D6" s="7">
        <f t="shared" si="1"/>
        <v>119700</v>
      </c>
      <c r="E6" s="7">
        <f t="shared" si="1"/>
        <v>124450</v>
      </c>
      <c r="F6" s="7">
        <f t="shared" si="1"/>
        <v>128250</v>
      </c>
      <c r="G6" s="7">
        <f t="shared" si="1"/>
        <v>132050</v>
      </c>
      <c r="H6" s="7">
        <f t="shared" si="1"/>
        <v>135850</v>
      </c>
      <c r="I6" s="7">
        <f t="shared" si="1"/>
        <v>140600</v>
      </c>
      <c r="J6" s="7">
        <f t="shared" si="1"/>
        <v>144400</v>
      </c>
    </row>
    <row r="7" spans="1:10" ht="15.75" customHeight="1" x14ac:dyDescent="0.2">
      <c r="A7" s="94"/>
      <c r="B7" s="6" t="s">
        <v>15</v>
      </c>
      <c r="C7" s="7">
        <f t="shared" ref="C7:J7" si="2">(C4-C5)</f>
        <v>61000</v>
      </c>
      <c r="D7" s="7">
        <f t="shared" si="2"/>
        <v>63000</v>
      </c>
      <c r="E7" s="7">
        <f t="shared" si="2"/>
        <v>65500</v>
      </c>
      <c r="F7" s="7">
        <f t="shared" si="2"/>
        <v>67500</v>
      </c>
      <c r="G7" s="7">
        <f t="shared" si="2"/>
        <v>69500</v>
      </c>
      <c r="H7" s="7">
        <f t="shared" si="2"/>
        <v>71500</v>
      </c>
      <c r="I7" s="7">
        <f t="shared" si="2"/>
        <v>74000</v>
      </c>
      <c r="J7" s="7">
        <f t="shared" si="2"/>
        <v>76000</v>
      </c>
    </row>
    <row r="8" spans="1:10" ht="15.75" customHeight="1" x14ac:dyDescent="0.2">
      <c r="A8" s="92" t="s">
        <v>16</v>
      </c>
      <c r="B8" s="3" t="s">
        <v>12</v>
      </c>
      <c r="C8" s="4">
        <v>81000</v>
      </c>
      <c r="D8" s="4">
        <f t="shared" ref="D8:J8" si="3">C8</f>
        <v>81000</v>
      </c>
      <c r="E8" s="4">
        <f t="shared" si="3"/>
        <v>81000</v>
      </c>
      <c r="F8" s="4">
        <f t="shared" si="3"/>
        <v>81000</v>
      </c>
      <c r="G8" s="4">
        <f t="shared" si="3"/>
        <v>81000</v>
      </c>
      <c r="H8" s="4">
        <f t="shared" si="3"/>
        <v>81000</v>
      </c>
      <c r="I8" s="4">
        <f t="shared" si="3"/>
        <v>81000</v>
      </c>
      <c r="J8" s="4">
        <f t="shared" si="3"/>
        <v>81000</v>
      </c>
    </row>
    <row r="9" spans="1:10" ht="15.75" customHeight="1" x14ac:dyDescent="0.2">
      <c r="A9" s="93"/>
      <c r="B9" s="3" t="s">
        <v>13</v>
      </c>
      <c r="C9" s="4">
        <f t="shared" ref="C9:J9" si="4">C5</f>
        <v>18000</v>
      </c>
      <c r="D9" s="4">
        <f t="shared" si="4"/>
        <v>16000</v>
      </c>
      <c r="E9" s="4">
        <f t="shared" si="4"/>
        <v>13500</v>
      </c>
      <c r="F9" s="4">
        <f t="shared" si="4"/>
        <v>11500</v>
      </c>
      <c r="G9" s="4">
        <f t="shared" si="4"/>
        <v>9500</v>
      </c>
      <c r="H9" s="4">
        <f t="shared" si="4"/>
        <v>7500</v>
      </c>
      <c r="I9" s="4">
        <f t="shared" si="4"/>
        <v>5000</v>
      </c>
      <c r="J9" s="4">
        <f t="shared" si="4"/>
        <v>3000</v>
      </c>
    </row>
    <row r="10" spans="1:10" ht="15.75" customHeight="1" x14ac:dyDescent="0.2">
      <c r="A10" s="93"/>
      <c r="B10" s="6" t="s">
        <v>14</v>
      </c>
      <c r="C10" s="7">
        <f t="shared" ref="C10:J10" si="5">(C8-C9)*2*0.95</f>
        <v>119700</v>
      </c>
      <c r="D10" s="7">
        <f t="shared" si="5"/>
        <v>123500</v>
      </c>
      <c r="E10" s="7">
        <f t="shared" si="5"/>
        <v>128250</v>
      </c>
      <c r="F10" s="7">
        <f t="shared" si="5"/>
        <v>132050</v>
      </c>
      <c r="G10" s="7">
        <f t="shared" si="5"/>
        <v>135850</v>
      </c>
      <c r="H10" s="7">
        <f t="shared" si="5"/>
        <v>139650</v>
      </c>
      <c r="I10" s="7">
        <f t="shared" si="5"/>
        <v>144400</v>
      </c>
      <c r="J10" s="7">
        <f t="shared" si="5"/>
        <v>148200</v>
      </c>
    </row>
    <row r="11" spans="1:10" ht="15.75" customHeight="1" x14ac:dyDescent="0.2">
      <c r="A11" s="94"/>
      <c r="B11" s="6" t="s">
        <v>15</v>
      </c>
      <c r="C11" s="7">
        <f t="shared" ref="C11:J11" si="6">(C8-C9)</f>
        <v>63000</v>
      </c>
      <c r="D11" s="7">
        <f t="shared" si="6"/>
        <v>65000</v>
      </c>
      <c r="E11" s="7">
        <f t="shared" si="6"/>
        <v>67500</v>
      </c>
      <c r="F11" s="7">
        <f t="shared" si="6"/>
        <v>69500</v>
      </c>
      <c r="G11" s="7">
        <f t="shared" si="6"/>
        <v>71500</v>
      </c>
      <c r="H11" s="7">
        <f t="shared" si="6"/>
        <v>73500</v>
      </c>
      <c r="I11" s="7">
        <f t="shared" si="6"/>
        <v>76000</v>
      </c>
      <c r="J11" s="7">
        <f t="shared" si="6"/>
        <v>78000</v>
      </c>
    </row>
    <row r="12" spans="1:10" ht="15.75" customHeight="1" x14ac:dyDescent="0.2">
      <c r="A12" s="92" t="s">
        <v>278</v>
      </c>
      <c r="B12" s="3" t="s">
        <v>12</v>
      </c>
      <c r="C12" s="4">
        <v>85050</v>
      </c>
      <c r="D12" s="4">
        <f t="shared" ref="D12" si="7">C12</f>
        <v>85050</v>
      </c>
      <c r="E12" s="4">
        <f t="shared" ref="E12" si="8">D12</f>
        <v>85050</v>
      </c>
      <c r="F12" s="4">
        <f t="shared" ref="F12" si="9">E12</f>
        <v>85050</v>
      </c>
      <c r="G12" s="4">
        <f t="shared" ref="G12" si="10">F12</f>
        <v>85050</v>
      </c>
      <c r="H12" s="4">
        <f t="shared" ref="H12" si="11">G12</f>
        <v>85050</v>
      </c>
      <c r="I12" s="4">
        <f t="shared" ref="I12" si="12">H12</f>
        <v>85050</v>
      </c>
      <c r="J12" s="4">
        <f t="shared" ref="J12" si="13">I12</f>
        <v>85050</v>
      </c>
    </row>
    <row r="13" spans="1:10" ht="15.75" customHeight="1" x14ac:dyDescent="0.2">
      <c r="A13" s="93"/>
      <c r="B13" s="3" t="s">
        <v>13</v>
      </c>
      <c r="C13" s="4">
        <f t="shared" ref="C13:J13" si="14">C9</f>
        <v>18000</v>
      </c>
      <c r="D13" s="4">
        <f t="shared" si="14"/>
        <v>16000</v>
      </c>
      <c r="E13" s="4">
        <f t="shared" si="14"/>
        <v>13500</v>
      </c>
      <c r="F13" s="4">
        <f t="shared" si="14"/>
        <v>11500</v>
      </c>
      <c r="G13" s="4">
        <f t="shared" si="14"/>
        <v>9500</v>
      </c>
      <c r="H13" s="4">
        <f t="shared" si="14"/>
        <v>7500</v>
      </c>
      <c r="I13" s="4">
        <f t="shared" si="14"/>
        <v>5000</v>
      </c>
      <c r="J13" s="4">
        <f t="shared" si="14"/>
        <v>3000</v>
      </c>
    </row>
    <row r="14" spans="1:10" ht="15.75" customHeight="1" x14ac:dyDescent="0.2">
      <c r="A14" s="93"/>
      <c r="B14" s="6" t="s">
        <v>14</v>
      </c>
      <c r="C14" s="7">
        <f t="shared" ref="C14:J14" si="15">(C12-C13)*2*0.95</f>
        <v>127395</v>
      </c>
      <c r="D14" s="7">
        <f t="shared" si="15"/>
        <v>131195</v>
      </c>
      <c r="E14" s="7">
        <f t="shared" si="15"/>
        <v>135945</v>
      </c>
      <c r="F14" s="7">
        <f t="shared" si="15"/>
        <v>139745</v>
      </c>
      <c r="G14" s="7">
        <f t="shared" si="15"/>
        <v>143545</v>
      </c>
      <c r="H14" s="7">
        <f t="shared" si="15"/>
        <v>147345</v>
      </c>
      <c r="I14" s="7">
        <f t="shared" si="15"/>
        <v>152095</v>
      </c>
      <c r="J14" s="7">
        <f t="shared" si="15"/>
        <v>155895</v>
      </c>
    </row>
    <row r="15" spans="1:10" ht="15.75" customHeight="1" x14ac:dyDescent="0.2">
      <c r="A15" s="94"/>
      <c r="B15" s="6" t="s">
        <v>15</v>
      </c>
      <c r="C15" s="7">
        <f t="shared" ref="C15:J15" si="16">(C12-C13)</f>
        <v>67050</v>
      </c>
      <c r="D15" s="7">
        <f t="shared" si="16"/>
        <v>69050</v>
      </c>
      <c r="E15" s="7">
        <f t="shared" si="16"/>
        <v>71550</v>
      </c>
      <c r="F15" s="7">
        <f t="shared" si="16"/>
        <v>73550</v>
      </c>
      <c r="G15" s="7">
        <f t="shared" si="16"/>
        <v>75550</v>
      </c>
      <c r="H15" s="7">
        <f t="shared" si="16"/>
        <v>77550</v>
      </c>
      <c r="I15" s="7">
        <f t="shared" si="16"/>
        <v>80050</v>
      </c>
      <c r="J15" s="7">
        <f t="shared" si="16"/>
        <v>82050</v>
      </c>
    </row>
    <row r="16" spans="1:10" ht="15.75" customHeight="1" x14ac:dyDescent="0.2">
      <c r="A16" s="76" t="s">
        <v>19</v>
      </c>
      <c r="B16" s="75"/>
      <c r="C16" s="9">
        <f>SUM(C6,C10,C14)</f>
        <v>362995</v>
      </c>
      <c r="D16" s="9">
        <f t="shared" ref="D16:J16" si="17">SUM(D6,D10,D14)</f>
        <v>374395</v>
      </c>
      <c r="E16" s="9">
        <f t="shared" si="17"/>
        <v>388645</v>
      </c>
      <c r="F16" s="9">
        <f t="shared" si="17"/>
        <v>400045</v>
      </c>
      <c r="G16" s="9">
        <f t="shared" si="17"/>
        <v>411445</v>
      </c>
      <c r="H16" s="9">
        <f t="shared" si="17"/>
        <v>422845</v>
      </c>
      <c r="I16" s="9">
        <f t="shared" si="17"/>
        <v>437095</v>
      </c>
      <c r="J16" s="9">
        <f t="shared" si="17"/>
        <v>448495</v>
      </c>
    </row>
    <row r="17" spans="1:10" ht="15.75" customHeight="1" x14ac:dyDescent="0.2">
      <c r="A17" s="77" t="s">
        <v>20</v>
      </c>
      <c r="B17" s="78"/>
      <c r="C17" s="83" t="s">
        <v>21</v>
      </c>
      <c r="D17" s="75"/>
      <c r="E17" s="44">
        <v>10000</v>
      </c>
      <c r="F17" s="84"/>
      <c r="G17" s="85"/>
      <c r="H17" s="85"/>
      <c r="I17" s="85"/>
      <c r="J17" s="78"/>
    </row>
    <row r="18" spans="1:10" ht="15.75" customHeight="1" x14ac:dyDescent="0.2">
      <c r="A18" s="79"/>
      <c r="B18" s="80"/>
      <c r="C18" s="83" t="s">
        <v>22</v>
      </c>
      <c r="D18" s="75"/>
      <c r="E18" s="44">
        <v>5000</v>
      </c>
      <c r="F18" s="79"/>
      <c r="G18" s="86"/>
      <c r="H18" s="86"/>
      <c r="I18" s="86"/>
      <c r="J18" s="80"/>
    </row>
    <row r="19" spans="1:10" ht="15.75" customHeight="1" x14ac:dyDescent="0.2">
      <c r="A19" s="81"/>
      <c r="B19" s="82"/>
      <c r="C19" s="88" t="s">
        <v>23</v>
      </c>
      <c r="D19" s="75"/>
      <c r="E19" s="10">
        <v>3000</v>
      </c>
      <c r="F19" s="79"/>
      <c r="G19" s="86"/>
      <c r="H19" s="86"/>
      <c r="I19" s="86"/>
      <c r="J19" s="80"/>
    </row>
    <row r="20" spans="1:10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79"/>
      <c r="G20" s="86"/>
      <c r="H20" s="86"/>
      <c r="I20" s="86"/>
      <c r="J20" s="80"/>
    </row>
    <row r="21" spans="1:10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7"/>
      <c r="I21" s="87"/>
      <c r="J21" s="82"/>
    </row>
    <row r="22" spans="1:10" ht="15.75" customHeight="1" x14ac:dyDescent="0.2">
      <c r="A22" s="151" t="s">
        <v>27</v>
      </c>
      <c r="B22" s="85"/>
      <c r="C22" s="85"/>
      <c r="D22" s="85"/>
      <c r="E22" s="85"/>
      <c r="F22" s="85"/>
      <c r="G22" s="85"/>
      <c r="H22" s="85"/>
      <c r="I22" s="85"/>
      <c r="J22" s="85"/>
    </row>
    <row r="23" spans="1:10" ht="15.75" customHeight="1" x14ac:dyDescent="0.2">
      <c r="A23" s="151" t="s">
        <v>28</v>
      </c>
      <c r="B23" s="85"/>
      <c r="C23" s="85"/>
      <c r="D23" s="85"/>
      <c r="E23" s="85"/>
      <c r="F23" s="85"/>
      <c r="G23" s="85"/>
      <c r="H23" s="85"/>
      <c r="I23" s="85"/>
      <c r="J23" s="85"/>
    </row>
    <row r="24" spans="1:10" ht="15.75" customHeight="1" x14ac:dyDescent="0.2">
      <c r="A24" s="151" t="s">
        <v>29</v>
      </c>
      <c r="B24" s="85"/>
      <c r="C24" s="85"/>
      <c r="D24" s="85"/>
      <c r="E24" s="85"/>
      <c r="F24" s="85"/>
      <c r="G24" s="85"/>
      <c r="H24" s="85"/>
      <c r="I24" s="85"/>
      <c r="J24" s="85"/>
    </row>
    <row r="25" spans="1:10" ht="15.75" customHeight="1" x14ac:dyDescent="0.2">
      <c r="A25" s="104" t="s">
        <v>30</v>
      </c>
      <c r="B25" s="98"/>
      <c r="C25" s="98"/>
      <c r="D25" s="98"/>
      <c r="E25" s="98"/>
      <c r="F25" s="98"/>
      <c r="G25" s="98"/>
      <c r="H25" s="98"/>
      <c r="I25" s="98"/>
      <c r="J25" s="98"/>
    </row>
    <row r="26" spans="1:10" ht="15.75" customHeight="1" x14ac:dyDescent="0.2"/>
    <row r="27" spans="1:10" ht="15.75" customHeight="1" x14ac:dyDescent="0.2"/>
    <row r="28" spans="1:10" ht="15.75" customHeight="1" x14ac:dyDescent="0.2"/>
    <row r="29" spans="1:10" ht="15.75" customHeight="1" x14ac:dyDescent="0.2"/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18">
    <mergeCell ref="A1:J1"/>
    <mergeCell ref="A2:J2"/>
    <mergeCell ref="A4:A7"/>
    <mergeCell ref="A8:A11"/>
    <mergeCell ref="A22:J22"/>
    <mergeCell ref="A12:A15"/>
    <mergeCell ref="A23:J23"/>
    <mergeCell ref="A24:J24"/>
    <mergeCell ref="A25:J25"/>
    <mergeCell ref="A16:B16"/>
    <mergeCell ref="A17:B19"/>
    <mergeCell ref="C17:D17"/>
    <mergeCell ref="F17:J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1000"/>
  <sheetViews>
    <sheetView workbookViewId="0">
      <selection activeCell="C12" sqref="C12"/>
    </sheetView>
  </sheetViews>
  <sheetFormatPr baseColWidth="10" defaultColWidth="11.1640625" defaultRowHeight="15" customHeight="1" x14ac:dyDescent="0.2"/>
  <cols>
    <col min="1" max="10" width="10.6640625" customWidth="1"/>
    <col min="11" max="26" width="11.1640625" customWidth="1"/>
  </cols>
  <sheetData>
    <row r="1" spans="1:10" ht="15.75" customHeight="1" x14ac:dyDescent="0.2">
      <c r="A1" s="90" t="s">
        <v>279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ht="39" customHeight="1" x14ac:dyDescent="0.2">
      <c r="A2" s="91" t="s">
        <v>280</v>
      </c>
      <c r="B2" s="74"/>
      <c r="C2" s="74"/>
      <c r="D2" s="74"/>
      <c r="E2" s="74"/>
      <c r="F2" s="74"/>
      <c r="G2" s="74"/>
      <c r="H2" s="74"/>
      <c r="I2" s="74"/>
      <c r="J2" s="75"/>
    </row>
    <row r="3" spans="1:10" ht="15.75" customHeight="1" x14ac:dyDescent="0.2">
      <c r="A3" s="1" t="s">
        <v>2</v>
      </c>
      <c r="B3" s="1" t="s">
        <v>3</v>
      </c>
      <c r="C3" s="2" t="s">
        <v>268</v>
      </c>
      <c r="D3" s="2" t="s">
        <v>269</v>
      </c>
      <c r="E3" s="2" t="s">
        <v>270</v>
      </c>
      <c r="F3" s="2" t="s">
        <v>271</v>
      </c>
      <c r="G3" s="2" t="s">
        <v>272</v>
      </c>
      <c r="H3" s="2" t="s">
        <v>273</v>
      </c>
      <c r="I3" s="2" t="s">
        <v>274</v>
      </c>
      <c r="J3" s="2" t="s">
        <v>275</v>
      </c>
    </row>
    <row r="4" spans="1:10" ht="15.75" customHeight="1" x14ac:dyDescent="0.2">
      <c r="A4" s="92" t="s">
        <v>11</v>
      </c>
      <c r="B4" s="3" t="s">
        <v>12</v>
      </c>
      <c r="C4" s="4">
        <v>79000</v>
      </c>
      <c r="D4" s="4">
        <f t="shared" ref="D4:J4" si="0">C4</f>
        <v>79000</v>
      </c>
      <c r="E4" s="4">
        <f t="shared" si="0"/>
        <v>79000</v>
      </c>
      <c r="F4" s="4">
        <f t="shared" si="0"/>
        <v>79000</v>
      </c>
      <c r="G4" s="4">
        <f t="shared" si="0"/>
        <v>79000</v>
      </c>
      <c r="H4" s="4">
        <f t="shared" si="0"/>
        <v>79000</v>
      </c>
      <c r="I4" s="4">
        <f t="shared" si="0"/>
        <v>79000</v>
      </c>
      <c r="J4" s="4">
        <f t="shared" si="0"/>
        <v>79000</v>
      </c>
    </row>
    <row r="5" spans="1:10" ht="15.75" customHeight="1" x14ac:dyDescent="0.2">
      <c r="A5" s="93"/>
      <c r="B5" s="3" t="s">
        <v>13</v>
      </c>
      <c r="C5" s="5">
        <v>18000</v>
      </c>
      <c r="D5" s="5">
        <v>16000</v>
      </c>
      <c r="E5" s="5">
        <v>13500</v>
      </c>
      <c r="F5" s="5">
        <v>11500</v>
      </c>
      <c r="G5" s="5">
        <v>9500</v>
      </c>
      <c r="H5" s="5">
        <v>7500</v>
      </c>
      <c r="I5" s="5">
        <v>5000</v>
      </c>
      <c r="J5" s="5">
        <v>3000</v>
      </c>
    </row>
    <row r="6" spans="1:10" ht="15.75" customHeight="1" x14ac:dyDescent="0.2">
      <c r="A6" s="93"/>
      <c r="B6" s="6" t="s">
        <v>14</v>
      </c>
      <c r="C6" s="7">
        <f t="shared" ref="C6:J6" si="1">(C4-C5)*2*0.95</f>
        <v>115900</v>
      </c>
      <c r="D6" s="7">
        <f t="shared" si="1"/>
        <v>119700</v>
      </c>
      <c r="E6" s="7">
        <f t="shared" si="1"/>
        <v>124450</v>
      </c>
      <c r="F6" s="7">
        <f t="shared" si="1"/>
        <v>128250</v>
      </c>
      <c r="G6" s="7">
        <f t="shared" si="1"/>
        <v>132050</v>
      </c>
      <c r="H6" s="7">
        <f t="shared" si="1"/>
        <v>135850</v>
      </c>
      <c r="I6" s="7">
        <f t="shared" si="1"/>
        <v>140600</v>
      </c>
      <c r="J6" s="7">
        <f t="shared" si="1"/>
        <v>144400</v>
      </c>
    </row>
    <row r="7" spans="1:10" ht="15.75" customHeight="1" x14ac:dyDescent="0.2">
      <c r="A7" s="94"/>
      <c r="B7" s="6" t="s">
        <v>15</v>
      </c>
      <c r="C7" s="7">
        <f t="shared" ref="C7:J7" si="2">(C4-C5)</f>
        <v>61000</v>
      </c>
      <c r="D7" s="7">
        <f t="shared" si="2"/>
        <v>63000</v>
      </c>
      <c r="E7" s="7">
        <f t="shared" si="2"/>
        <v>65500</v>
      </c>
      <c r="F7" s="7">
        <f t="shared" si="2"/>
        <v>67500</v>
      </c>
      <c r="G7" s="7">
        <f t="shared" si="2"/>
        <v>69500</v>
      </c>
      <c r="H7" s="7">
        <f t="shared" si="2"/>
        <v>71500</v>
      </c>
      <c r="I7" s="7">
        <f t="shared" si="2"/>
        <v>74000</v>
      </c>
      <c r="J7" s="7">
        <f t="shared" si="2"/>
        <v>76000</v>
      </c>
    </row>
    <row r="8" spans="1:10" ht="15.75" customHeight="1" x14ac:dyDescent="0.2">
      <c r="A8" s="92" t="s">
        <v>16</v>
      </c>
      <c r="B8" s="3" t="s">
        <v>12</v>
      </c>
      <c r="C8" s="4">
        <v>81000</v>
      </c>
      <c r="D8" s="4">
        <f t="shared" ref="D8:J8" si="3">C8</f>
        <v>81000</v>
      </c>
      <c r="E8" s="4">
        <f t="shared" si="3"/>
        <v>81000</v>
      </c>
      <c r="F8" s="4">
        <f t="shared" si="3"/>
        <v>81000</v>
      </c>
      <c r="G8" s="4">
        <f t="shared" si="3"/>
        <v>81000</v>
      </c>
      <c r="H8" s="4">
        <f t="shared" si="3"/>
        <v>81000</v>
      </c>
      <c r="I8" s="4">
        <f t="shared" si="3"/>
        <v>81000</v>
      </c>
      <c r="J8" s="4">
        <f t="shared" si="3"/>
        <v>81000</v>
      </c>
    </row>
    <row r="9" spans="1:10" ht="15.75" customHeight="1" x14ac:dyDescent="0.2">
      <c r="A9" s="93"/>
      <c r="B9" s="3" t="s">
        <v>13</v>
      </c>
      <c r="C9" s="4">
        <f t="shared" ref="C9:J9" si="4">C5</f>
        <v>18000</v>
      </c>
      <c r="D9" s="4">
        <f t="shared" si="4"/>
        <v>16000</v>
      </c>
      <c r="E9" s="4">
        <f t="shared" si="4"/>
        <v>13500</v>
      </c>
      <c r="F9" s="4">
        <f t="shared" si="4"/>
        <v>11500</v>
      </c>
      <c r="G9" s="4">
        <f t="shared" si="4"/>
        <v>9500</v>
      </c>
      <c r="H9" s="4">
        <f t="shared" si="4"/>
        <v>7500</v>
      </c>
      <c r="I9" s="4">
        <f t="shared" si="4"/>
        <v>5000</v>
      </c>
      <c r="J9" s="4">
        <f t="shared" si="4"/>
        <v>3000</v>
      </c>
    </row>
    <row r="10" spans="1:10" ht="15.75" customHeight="1" x14ac:dyDescent="0.2">
      <c r="A10" s="93"/>
      <c r="B10" s="6" t="s">
        <v>14</v>
      </c>
      <c r="C10" s="7">
        <f t="shared" ref="C10:J10" si="5">(C8-C9)*2*0.95</f>
        <v>119700</v>
      </c>
      <c r="D10" s="7">
        <f t="shared" si="5"/>
        <v>123500</v>
      </c>
      <c r="E10" s="7">
        <f t="shared" si="5"/>
        <v>128250</v>
      </c>
      <c r="F10" s="7">
        <f t="shared" si="5"/>
        <v>132050</v>
      </c>
      <c r="G10" s="7">
        <f t="shared" si="5"/>
        <v>135850</v>
      </c>
      <c r="H10" s="7">
        <f t="shared" si="5"/>
        <v>139650</v>
      </c>
      <c r="I10" s="7">
        <f t="shared" si="5"/>
        <v>144400</v>
      </c>
      <c r="J10" s="7">
        <f t="shared" si="5"/>
        <v>148200</v>
      </c>
    </row>
    <row r="11" spans="1:10" ht="15.75" customHeight="1" x14ac:dyDescent="0.2">
      <c r="A11" s="94"/>
      <c r="B11" s="6" t="s">
        <v>15</v>
      </c>
      <c r="C11" s="7">
        <f t="shared" ref="C11:J11" si="6">(C8-C9)</f>
        <v>63000</v>
      </c>
      <c r="D11" s="7">
        <f t="shared" si="6"/>
        <v>65000</v>
      </c>
      <c r="E11" s="7">
        <f t="shared" si="6"/>
        <v>67500</v>
      </c>
      <c r="F11" s="7">
        <f t="shared" si="6"/>
        <v>69500</v>
      </c>
      <c r="G11" s="7">
        <f t="shared" si="6"/>
        <v>71500</v>
      </c>
      <c r="H11" s="7">
        <f t="shared" si="6"/>
        <v>73500</v>
      </c>
      <c r="I11" s="7">
        <f t="shared" si="6"/>
        <v>76000</v>
      </c>
      <c r="J11" s="7">
        <f t="shared" si="6"/>
        <v>78000</v>
      </c>
    </row>
    <row r="12" spans="1:10" ht="15.75" customHeight="1" x14ac:dyDescent="0.2">
      <c r="A12" s="92" t="s">
        <v>17</v>
      </c>
      <c r="B12" s="3" t="s">
        <v>12</v>
      </c>
      <c r="C12" s="4">
        <f>C8*1.05</f>
        <v>85050</v>
      </c>
      <c r="D12" s="4">
        <f t="shared" ref="D12:J12" si="7">C12</f>
        <v>85050</v>
      </c>
      <c r="E12" s="4">
        <f t="shared" si="7"/>
        <v>85050</v>
      </c>
      <c r="F12" s="4">
        <f t="shared" si="7"/>
        <v>85050</v>
      </c>
      <c r="G12" s="4">
        <f t="shared" si="7"/>
        <v>85050</v>
      </c>
      <c r="H12" s="4">
        <f t="shared" si="7"/>
        <v>85050</v>
      </c>
      <c r="I12" s="4">
        <f t="shared" si="7"/>
        <v>85050</v>
      </c>
      <c r="J12" s="4">
        <f t="shared" si="7"/>
        <v>85050</v>
      </c>
    </row>
    <row r="13" spans="1:10" ht="15.75" customHeight="1" x14ac:dyDescent="0.2">
      <c r="A13" s="93"/>
      <c r="B13" s="3" t="s">
        <v>13</v>
      </c>
      <c r="C13" s="4">
        <f t="shared" ref="C13:J13" si="8">C9</f>
        <v>18000</v>
      </c>
      <c r="D13" s="4">
        <f t="shared" si="8"/>
        <v>16000</v>
      </c>
      <c r="E13" s="4">
        <f t="shared" si="8"/>
        <v>13500</v>
      </c>
      <c r="F13" s="4">
        <f t="shared" si="8"/>
        <v>11500</v>
      </c>
      <c r="G13" s="4">
        <f t="shared" si="8"/>
        <v>9500</v>
      </c>
      <c r="H13" s="4">
        <f t="shared" si="8"/>
        <v>7500</v>
      </c>
      <c r="I13" s="4">
        <f t="shared" si="8"/>
        <v>5000</v>
      </c>
      <c r="J13" s="4">
        <f t="shared" si="8"/>
        <v>3000</v>
      </c>
    </row>
    <row r="14" spans="1:10" ht="15.75" customHeight="1" x14ac:dyDescent="0.2">
      <c r="A14" s="93"/>
      <c r="B14" s="6" t="s">
        <v>14</v>
      </c>
      <c r="C14" s="7">
        <f t="shared" ref="C14:J14" si="9">(C12-C13)*2*0.95</f>
        <v>127395</v>
      </c>
      <c r="D14" s="7">
        <f t="shared" si="9"/>
        <v>131195</v>
      </c>
      <c r="E14" s="7">
        <f t="shared" si="9"/>
        <v>135945</v>
      </c>
      <c r="F14" s="7">
        <f t="shared" si="9"/>
        <v>139745</v>
      </c>
      <c r="G14" s="7">
        <f t="shared" si="9"/>
        <v>143545</v>
      </c>
      <c r="H14" s="7">
        <f t="shared" si="9"/>
        <v>147345</v>
      </c>
      <c r="I14" s="7">
        <f t="shared" si="9"/>
        <v>152095</v>
      </c>
      <c r="J14" s="7">
        <f t="shared" si="9"/>
        <v>155895</v>
      </c>
    </row>
    <row r="15" spans="1:10" ht="15.75" customHeight="1" x14ac:dyDescent="0.2">
      <c r="A15" s="94"/>
      <c r="B15" s="6" t="s">
        <v>15</v>
      </c>
      <c r="C15" s="7">
        <f t="shared" ref="C15:J15" si="10">(C12-C13)</f>
        <v>67050</v>
      </c>
      <c r="D15" s="7">
        <f t="shared" si="10"/>
        <v>69050</v>
      </c>
      <c r="E15" s="7">
        <f t="shared" si="10"/>
        <v>71550</v>
      </c>
      <c r="F15" s="7">
        <f t="shared" si="10"/>
        <v>73550</v>
      </c>
      <c r="G15" s="7">
        <f t="shared" si="10"/>
        <v>75550</v>
      </c>
      <c r="H15" s="7">
        <f t="shared" si="10"/>
        <v>77550</v>
      </c>
      <c r="I15" s="7">
        <f t="shared" si="10"/>
        <v>80050</v>
      </c>
      <c r="J15" s="7">
        <f t="shared" si="10"/>
        <v>82050</v>
      </c>
    </row>
    <row r="16" spans="1:10" ht="15.75" customHeight="1" x14ac:dyDescent="0.2">
      <c r="A16" s="92" t="s">
        <v>18</v>
      </c>
      <c r="B16" s="3" t="s">
        <v>12</v>
      </c>
      <c r="C16" s="4">
        <f>C12*1.05</f>
        <v>89302.5</v>
      </c>
      <c r="D16" s="4">
        <f t="shared" ref="D16:J16" si="11">C16</f>
        <v>89302.5</v>
      </c>
      <c r="E16" s="4">
        <f t="shared" si="11"/>
        <v>89302.5</v>
      </c>
      <c r="F16" s="4">
        <f t="shared" si="11"/>
        <v>89302.5</v>
      </c>
      <c r="G16" s="4">
        <f t="shared" si="11"/>
        <v>89302.5</v>
      </c>
      <c r="H16" s="4">
        <f t="shared" si="11"/>
        <v>89302.5</v>
      </c>
      <c r="I16" s="4">
        <f t="shared" si="11"/>
        <v>89302.5</v>
      </c>
      <c r="J16" s="4">
        <f t="shared" si="11"/>
        <v>89302.5</v>
      </c>
    </row>
    <row r="17" spans="1:10" ht="15.75" customHeight="1" x14ac:dyDescent="0.2">
      <c r="A17" s="152"/>
      <c r="B17" s="3" t="s">
        <v>13</v>
      </c>
      <c r="C17" s="4">
        <f t="shared" ref="C17:J17" si="12">C13</f>
        <v>18000</v>
      </c>
      <c r="D17" s="4">
        <f t="shared" si="12"/>
        <v>16000</v>
      </c>
      <c r="E17" s="4">
        <f t="shared" si="12"/>
        <v>13500</v>
      </c>
      <c r="F17" s="4">
        <f t="shared" si="12"/>
        <v>11500</v>
      </c>
      <c r="G17" s="4">
        <f t="shared" si="12"/>
        <v>9500</v>
      </c>
      <c r="H17" s="4">
        <f t="shared" si="12"/>
        <v>7500</v>
      </c>
      <c r="I17" s="4">
        <f t="shared" si="12"/>
        <v>5000</v>
      </c>
      <c r="J17" s="4">
        <f t="shared" si="12"/>
        <v>3000</v>
      </c>
    </row>
    <row r="18" spans="1:10" ht="15.75" customHeight="1" x14ac:dyDescent="0.2">
      <c r="A18" s="152"/>
      <c r="B18" s="6" t="s">
        <v>14</v>
      </c>
      <c r="C18" s="7">
        <f t="shared" ref="C18:J18" si="13">(C16-C17)*2*0.95</f>
        <v>135474.75</v>
      </c>
      <c r="D18" s="7">
        <f t="shared" si="13"/>
        <v>139274.75</v>
      </c>
      <c r="E18" s="7">
        <f t="shared" si="13"/>
        <v>144024.75</v>
      </c>
      <c r="F18" s="7">
        <f t="shared" si="13"/>
        <v>147824.75</v>
      </c>
      <c r="G18" s="7">
        <f t="shared" si="13"/>
        <v>151624.75</v>
      </c>
      <c r="H18" s="7">
        <f t="shared" si="13"/>
        <v>155424.75</v>
      </c>
      <c r="I18" s="7">
        <f t="shared" si="13"/>
        <v>160174.75</v>
      </c>
      <c r="J18" s="7">
        <f t="shared" si="13"/>
        <v>163974.75</v>
      </c>
    </row>
    <row r="19" spans="1:10" ht="15.75" customHeight="1" x14ac:dyDescent="0.2">
      <c r="A19" s="153"/>
      <c r="B19" s="6" t="s">
        <v>15</v>
      </c>
      <c r="C19" s="7">
        <f t="shared" ref="C19:J19" si="14">(C16-C17)</f>
        <v>71302.5</v>
      </c>
      <c r="D19" s="7">
        <f t="shared" si="14"/>
        <v>73302.5</v>
      </c>
      <c r="E19" s="7">
        <f t="shared" si="14"/>
        <v>75802.5</v>
      </c>
      <c r="F19" s="7">
        <f t="shared" si="14"/>
        <v>77802.5</v>
      </c>
      <c r="G19" s="7">
        <f t="shared" si="14"/>
        <v>79802.5</v>
      </c>
      <c r="H19" s="7">
        <f t="shared" si="14"/>
        <v>81802.5</v>
      </c>
      <c r="I19" s="7">
        <f t="shared" si="14"/>
        <v>84302.5</v>
      </c>
      <c r="J19" s="7">
        <f t="shared" si="14"/>
        <v>86302.5</v>
      </c>
    </row>
    <row r="20" spans="1:10" ht="15.75" customHeight="1" x14ac:dyDescent="0.2">
      <c r="A20" s="76" t="s">
        <v>19</v>
      </c>
      <c r="B20" s="75"/>
      <c r="C20" s="9">
        <f t="shared" ref="C20:J20" si="15">SUM(C6,C10,C14,C18)</f>
        <v>498469.75</v>
      </c>
      <c r="D20" s="9">
        <f t="shared" si="15"/>
        <v>513669.75</v>
      </c>
      <c r="E20" s="9">
        <f t="shared" si="15"/>
        <v>532669.75</v>
      </c>
      <c r="F20" s="9">
        <f t="shared" si="15"/>
        <v>547869.75</v>
      </c>
      <c r="G20" s="9">
        <f t="shared" si="15"/>
        <v>563069.75</v>
      </c>
      <c r="H20" s="9">
        <f t="shared" si="15"/>
        <v>578269.75</v>
      </c>
      <c r="I20" s="9">
        <f t="shared" si="15"/>
        <v>597269.75</v>
      </c>
      <c r="J20" s="9">
        <f t="shared" si="15"/>
        <v>612469.75</v>
      </c>
    </row>
    <row r="21" spans="1:10" ht="15.75" customHeight="1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85"/>
      <c r="I21" s="85"/>
      <c r="J21" s="78"/>
    </row>
    <row r="22" spans="1:10" ht="15.75" customHeight="1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6"/>
      <c r="I22" s="86"/>
      <c r="J22" s="80"/>
    </row>
    <row r="23" spans="1:10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6"/>
      <c r="I23" s="86"/>
      <c r="J23" s="80"/>
    </row>
    <row r="24" spans="1:10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6"/>
      <c r="I24" s="86"/>
      <c r="J24" s="80"/>
    </row>
    <row r="25" spans="1:10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7"/>
      <c r="I25" s="87"/>
      <c r="J25" s="82"/>
    </row>
    <row r="26" spans="1:10" ht="15.75" customHeight="1" x14ac:dyDescent="0.2">
      <c r="A26" s="151" t="s">
        <v>27</v>
      </c>
      <c r="B26" s="85"/>
      <c r="C26" s="85"/>
      <c r="D26" s="85"/>
      <c r="E26" s="85"/>
      <c r="F26" s="85"/>
      <c r="G26" s="85"/>
      <c r="H26" s="85"/>
      <c r="I26" s="85"/>
      <c r="J26" s="85"/>
    </row>
    <row r="27" spans="1:10" ht="15.75" customHeight="1" x14ac:dyDescent="0.2">
      <c r="A27" s="151" t="s">
        <v>28</v>
      </c>
      <c r="B27" s="85"/>
      <c r="C27" s="85"/>
      <c r="D27" s="85"/>
      <c r="E27" s="85"/>
      <c r="F27" s="85"/>
      <c r="G27" s="85"/>
      <c r="H27" s="85"/>
      <c r="I27" s="85"/>
      <c r="J27" s="85"/>
    </row>
    <row r="28" spans="1:10" ht="15.75" customHeight="1" x14ac:dyDescent="0.2">
      <c r="A28" s="151" t="s">
        <v>29</v>
      </c>
      <c r="B28" s="85"/>
      <c r="C28" s="85"/>
      <c r="D28" s="85"/>
      <c r="E28" s="85"/>
      <c r="F28" s="85"/>
      <c r="G28" s="85"/>
      <c r="H28" s="85"/>
      <c r="I28" s="85"/>
      <c r="J28" s="85"/>
    </row>
    <row r="29" spans="1:10" ht="15.75" customHeight="1" x14ac:dyDescent="0.2">
      <c r="A29" s="104" t="s">
        <v>30</v>
      </c>
      <c r="B29" s="98"/>
      <c r="C29" s="98"/>
      <c r="D29" s="98"/>
      <c r="E29" s="98"/>
      <c r="F29" s="98"/>
      <c r="G29" s="98"/>
      <c r="H29" s="98"/>
      <c r="I29" s="98"/>
      <c r="J29" s="98"/>
    </row>
    <row r="30" spans="1:10" ht="15.75" customHeight="1" x14ac:dyDescent="0.2"/>
    <row r="31" spans="1:10" ht="15.75" customHeight="1" x14ac:dyDescent="0.2"/>
    <row r="32" spans="1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J1"/>
    <mergeCell ref="A2:J2"/>
    <mergeCell ref="A4:A7"/>
    <mergeCell ref="A8:A11"/>
    <mergeCell ref="A12:A15"/>
    <mergeCell ref="A16:A19"/>
    <mergeCell ref="A20:B20"/>
    <mergeCell ref="C25:D25"/>
    <mergeCell ref="A26:J26"/>
    <mergeCell ref="A27:J27"/>
    <mergeCell ref="A28:J28"/>
    <mergeCell ref="A29:J29"/>
    <mergeCell ref="A21:B23"/>
    <mergeCell ref="C21:D21"/>
    <mergeCell ref="F21:J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1000"/>
  <sheetViews>
    <sheetView topLeftCell="A56" workbookViewId="0">
      <selection activeCell="E13" sqref="E13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0.6640625" customWidth="1"/>
    <col min="4" max="4" width="18.6640625" customWidth="1"/>
    <col min="5" max="5" width="15.6640625" customWidth="1"/>
    <col min="6" max="6" width="23.1640625" customWidth="1"/>
    <col min="7" max="26" width="11.1640625" customWidth="1"/>
  </cols>
  <sheetData>
    <row r="1" spans="1:6" ht="15.75" customHeight="1" x14ac:dyDescent="0.2">
      <c r="A1" s="90" t="s">
        <v>281</v>
      </c>
      <c r="B1" s="74"/>
      <c r="C1" s="74"/>
      <c r="D1" s="74"/>
      <c r="E1" s="74"/>
      <c r="F1" s="75"/>
    </row>
    <row r="2" spans="1:6" ht="38.25" customHeight="1" x14ac:dyDescent="0.2">
      <c r="A2" s="96" t="s">
        <v>282</v>
      </c>
      <c r="B2" s="74"/>
      <c r="C2" s="74"/>
      <c r="D2" s="74"/>
      <c r="E2" s="74"/>
      <c r="F2" s="75"/>
    </row>
    <row r="3" spans="1:6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283</v>
      </c>
    </row>
    <row r="4" spans="1:6" ht="15.75" customHeight="1" x14ac:dyDescent="0.2">
      <c r="A4" s="92" t="s">
        <v>11</v>
      </c>
      <c r="B4" s="3" t="s">
        <v>12</v>
      </c>
      <c r="C4" s="16">
        <v>95000</v>
      </c>
      <c r="D4" s="16">
        <f t="shared" ref="D4:F4" si="0">C4</f>
        <v>95000</v>
      </c>
      <c r="E4" s="16">
        <f t="shared" si="0"/>
        <v>95000</v>
      </c>
      <c r="F4" s="16">
        <f t="shared" si="0"/>
        <v>95000</v>
      </c>
    </row>
    <row r="5" spans="1:6" ht="15.75" customHeight="1" x14ac:dyDescent="0.2">
      <c r="A5" s="93"/>
      <c r="B5" s="3" t="s">
        <v>13</v>
      </c>
      <c r="C5" s="17">
        <v>15000</v>
      </c>
      <c r="D5" s="17">
        <v>13000</v>
      </c>
      <c r="E5" s="17">
        <v>11000</v>
      </c>
      <c r="F5" s="17">
        <v>5000</v>
      </c>
    </row>
    <row r="6" spans="1:6" ht="15.75" customHeight="1" x14ac:dyDescent="0.2">
      <c r="A6" s="93"/>
      <c r="B6" s="6" t="s">
        <v>14</v>
      </c>
      <c r="C6" s="7">
        <f t="shared" ref="C6:F6" si="1">(C4-C5)*2*0.95</f>
        <v>152000</v>
      </c>
      <c r="D6" s="7">
        <f t="shared" si="1"/>
        <v>155800</v>
      </c>
      <c r="E6" s="7">
        <f t="shared" si="1"/>
        <v>159600</v>
      </c>
      <c r="F6" s="7">
        <f t="shared" si="1"/>
        <v>171000</v>
      </c>
    </row>
    <row r="7" spans="1:6" ht="15.75" customHeight="1" x14ac:dyDescent="0.2">
      <c r="A7" s="94"/>
      <c r="B7" s="6" t="s">
        <v>15</v>
      </c>
      <c r="C7" s="7">
        <f t="shared" ref="C7:F7" si="2">(C4-C5)</f>
        <v>80000</v>
      </c>
      <c r="D7" s="7">
        <f t="shared" si="2"/>
        <v>82000</v>
      </c>
      <c r="E7" s="7">
        <f t="shared" si="2"/>
        <v>84000</v>
      </c>
      <c r="F7" s="7">
        <f t="shared" si="2"/>
        <v>90000</v>
      </c>
    </row>
    <row r="8" spans="1:6" ht="15.75" customHeight="1" x14ac:dyDescent="0.2">
      <c r="A8" s="92" t="s">
        <v>16</v>
      </c>
      <c r="B8" s="3" t="s">
        <v>12</v>
      </c>
      <c r="C8" s="4">
        <v>97700</v>
      </c>
      <c r="D8" s="4">
        <f t="shared" ref="D8:F8" si="3">C8</f>
        <v>97700</v>
      </c>
      <c r="E8" s="4">
        <f t="shared" si="3"/>
        <v>97700</v>
      </c>
      <c r="F8" s="4">
        <f t="shared" si="3"/>
        <v>97700</v>
      </c>
    </row>
    <row r="9" spans="1:6" ht="15.75" customHeight="1" x14ac:dyDescent="0.2">
      <c r="A9" s="93"/>
      <c r="B9" s="3" t="s">
        <v>13</v>
      </c>
      <c r="C9" s="4">
        <f t="shared" ref="C9:F9" si="4">C5</f>
        <v>15000</v>
      </c>
      <c r="D9" s="4">
        <f t="shared" si="4"/>
        <v>13000</v>
      </c>
      <c r="E9" s="4">
        <f t="shared" si="4"/>
        <v>11000</v>
      </c>
      <c r="F9" s="4">
        <f t="shared" si="4"/>
        <v>5000</v>
      </c>
    </row>
    <row r="10" spans="1:6" ht="15.75" customHeight="1" x14ac:dyDescent="0.2">
      <c r="A10" s="93"/>
      <c r="B10" s="6" t="s">
        <v>14</v>
      </c>
      <c r="C10" s="7">
        <f t="shared" ref="C10:F10" si="5">(C8-C9)*2*0.95</f>
        <v>157130</v>
      </c>
      <c r="D10" s="7">
        <f t="shared" si="5"/>
        <v>160930</v>
      </c>
      <c r="E10" s="7">
        <f t="shared" si="5"/>
        <v>164730</v>
      </c>
      <c r="F10" s="7">
        <f t="shared" si="5"/>
        <v>176130</v>
      </c>
    </row>
    <row r="11" spans="1:6" ht="15.75" customHeight="1" x14ac:dyDescent="0.2">
      <c r="A11" s="94"/>
      <c r="B11" s="6" t="s">
        <v>15</v>
      </c>
      <c r="C11" s="7">
        <f t="shared" ref="C11:F11" si="6">(C8-C9)</f>
        <v>82700</v>
      </c>
      <c r="D11" s="7">
        <f t="shared" si="6"/>
        <v>84700</v>
      </c>
      <c r="E11" s="7">
        <f t="shared" si="6"/>
        <v>86700</v>
      </c>
      <c r="F11" s="7">
        <f t="shared" si="6"/>
        <v>92700</v>
      </c>
    </row>
    <row r="12" spans="1:6" ht="15.75" customHeight="1" x14ac:dyDescent="0.2">
      <c r="A12" s="76" t="s">
        <v>19</v>
      </c>
      <c r="B12" s="75"/>
      <c r="C12" s="9">
        <f t="shared" ref="C12:F12" si="7">SUM(C6,C10)</f>
        <v>309130</v>
      </c>
      <c r="D12" s="9">
        <f t="shared" si="7"/>
        <v>316730</v>
      </c>
      <c r="E12" s="9">
        <f t="shared" si="7"/>
        <v>324330</v>
      </c>
      <c r="F12" s="9">
        <f t="shared" si="7"/>
        <v>347130</v>
      </c>
    </row>
    <row r="13" spans="1:6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144"/>
    </row>
    <row r="14" spans="1:6" ht="15.75" customHeight="1" x14ac:dyDescent="0.2">
      <c r="A14" s="79"/>
      <c r="B14" s="80"/>
      <c r="C14" s="83" t="s">
        <v>22</v>
      </c>
      <c r="D14" s="75"/>
      <c r="E14" s="44">
        <v>5000</v>
      </c>
      <c r="F14" s="93"/>
    </row>
    <row r="15" spans="1:6" ht="15.75" customHeight="1" x14ac:dyDescent="0.2">
      <c r="A15" s="81"/>
      <c r="B15" s="82"/>
      <c r="C15" s="88" t="s">
        <v>23</v>
      </c>
      <c r="D15" s="75"/>
      <c r="E15" s="10">
        <v>3000</v>
      </c>
      <c r="F15" s="93"/>
    </row>
    <row r="16" spans="1:6" ht="15.75" customHeight="1" x14ac:dyDescent="0.2">
      <c r="A16" s="89" t="s">
        <v>24</v>
      </c>
      <c r="B16" s="78"/>
      <c r="C16" s="76" t="s">
        <v>25</v>
      </c>
      <c r="D16" s="75"/>
      <c r="E16" s="3">
        <v>21100</v>
      </c>
      <c r="F16" s="93"/>
    </row>
    <row r="17" spans="1:6" ht="15.75" customHeight="1" x14ac:dyDescent="0.2">
      <c r="A17" s="81"/>
      <c r="B17" s="82"/>
      <c r="C17" s="76" t="s">
        <v>26</v>
      </c>
      <c r="D17" s="75"/>
      <c r="E17" s="3">
        <v>11050</v>
      </c>
      <c r="F17" s="94"/>
    </row>
    <row r="18" spans="1:6" ht="15.75" customHeight="1" x14ac:dyDescent="0.2">
      <c r="A18" s="73" t="s">
        <v>27</v>
      </c>
      <c r="B18" s="74"/>
      <c r="C18" s="74"/>
      <c r="D18" s="74"/>
      <c r="E18" s="74"/>
      <c r="F18" s="75"/>
    </row>
    <row r="19" spans="1:6" ht="15.75" customHeight="1" x14ac:dyDescent="0.2">
      <c r="A19" s="73" t="s">
        <v>28</v>
      </c>
      <c r="B19" s="74"/>
      <c r="C19" s="74"/>
      <c r="D19" s="74"/>
      <c r="E19" s="74"/>
      <c r="F19" s="75"/>
    </row>
    <row r="20" spans="1:6" ht="15.75" customHeight="1" x14ac:dyDescent="0.2">
      <c r="A20" s="73" t="s">
        <v>29</v>
      </c>
      <c r="B20" s="74"/>
      <c r="C20" s="74"/>
      <c r="D20" s="74"/>
      <c r="E20" s="74"/>
      <c r="F20" s="75"/>
    </row>
    <row r="21" spans="1:6" ht="15.75" customHeight="1" x14ac:dyDescent="0.2">
      <c r="A21" s="73" t="s">
        <v>30</v>
      </c>
      <c r="B21" s="74"/>
      <c r="C21" s="74"/>
      <c r="D21" s="74"/>
      <c r="E21" s="74"/>
      <c r="F21" s="75"/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F18"/>
    <mergeCell ref="A19:F19"/>
    <mergeCell ref="A20:F20"/>
    <mergeCell ref="A21:F21"/>
    <mergeCell ref="F13:F17"/>
    <mergeCell ref="C15:D15"/>
    <mergeCell ref="C13:D13"/>
    <mergeCell ref="C14:D14"/>
    <mergeCell ref="A13:B15"/>
    <mergeCell ref="A16:B17"/>
    <mergeCell ref="C16:D16"/>
    <mergeCell ref="A1:F1"/>
    <mergeCell ref="A2:F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000"/>
  <sheetViews>
    <sheetView workbookViewId="0">
      <selection activeCell="C5" sqref="C5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0.6640625" customWidth="1"/>
    <col min="4" max="4" width="18.6640625" customWidth="1"/>
    <col min="5" max="5" width="15.6640625" customWidth="1"/>
    <col min="6" max="6" width="23.1640625" customWidth="1"/>
    <col min="7" max="26" width="11.1640625" customWidth="1"/>
  </cols>
  <sheetData>
    <row r="1" spans="1:6" ht="15.75" customHeight="1" x14ac:dyDescent="0.2">
      <c r="A1" s="90" t="s">
        <v>284</v>
      </c>
      <c r="B1" s="74"/>
      <c r="C1" s="74"/>
      <c r="D1" s="74"/>
      <c r="E1" s="74"/>
      <c r="F1" s="75"/>
    </row>
    <row r="2" spans="1:6" ht="38.25" customHeight="1" x14ac:dyDescent="0.2">
      <c r="A2" s="96" t="s">
        <v>285</v>
      </c>
      <c r="B2" s="74"/>
      <c r="C2" s="74"/>
      <c r="D2" s="74"/>
      <c r="E2" s="74"/>
      <c r="F2" s="75"/>
    </row>
    <row r="3" spans="1:6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283</v>
      </c>
    </row>
    <row r="4" spans="1:6" ht="15.75" customHeight="1" x14ac:dyDescent="0.2">
      <c r="A4" s="92" t="s">
        <v>11</v>
      </c>
      <c r="B4" s="3" t="s">
        <v>12</v>
      </c>
      <c r="C4" s="16">
        <v>85700</v>
      </c>
      <c r="D4" s="16">
        <f t="shared" ref="D4:F4" si="0">C4</f>
        <v>85700</v>
      </c>
      <c r="E4" s="16">
        <f t="shared" si="0"/>
        <v>85700</v>
      </c>
      <c r="F4" s="16">
        <f t="shared" si="0"/>
        <v>85700</v>
      </c>
    </row>
    <row r="5" spans="1:6" ht="15.75" customHeight="1" x14ac:dyDescent="0.2">
      <c r="A5" s="93"/>
      <c r="B5" s="3" t="s">
        <v>13</v>
      </c>
      <c r="C5" s="17">
        <v>15000</v>
      </c>
      <c r="D5" s="17">
        <v>13000</v>
      </c>
      <c r="E5" s="17">
        <v>11000</v>
      </c>
      <c r="F5" s="17">
        <v>5000</v>
      </c>
    </row>
    <row r="6" spans="1:6" ht="15.75" customHeight="1" x14ac:dyDescent="0.2">
      <c r="A6" s="93"/>
      <c r="B6" s="6" t="s">
        <v>14</v>
      </c>
      <c r="C6" s="7">
        <f t="shared" ref="C6:F6" si="1">(C4-C5)*2*0.95</f>
        <v>134330</v>
      </c>
      <c r="D6" s="7">
        <f t="shared" si="1"/>
        <v>138130</v>
      </c>
      <c r="E6" s="7">
        <f t="shared" si="1"/>
        <v>141930</v>
      </c>
      <c r="F6" s="7">
        <f t="shared" si="1"/>
        <v>153330</v>
      </c>
    </row>
    <row r="7" spans="1:6" ht="15.75" customHeight="1" x14ac:dyDescent="0.2">
      <c r="A7" s="94"/>
      <c r="B7" s="6" t="s">
        <v>15</v>
      </c>
      <c r="C7" s="7">
        <f t="shared" ref="C7:F7" si="2">(C4-C5)</f>
        <v>70700</v>
      </c>
      <c r="D7" s="7">
        <f t="shared" si="2"/>
        <v>72700</v>
      </c>
      <c r="E7" s="7">
        <f t="shared" si="2"/>
        <v>74700</v>
      </c>
      <c r="F7" s="7">
        <f t="shared" si="2"/>
        <v>80700</v>
      </c>
    </row>
    <row r="8" spans="1:6" ht="15.75" customHeight="1" x14ac:dyDescent="0.2">
      <c r="A8" s="92" t="s">
        <v>16</v>
      </c>
      <c r="B8" s="3" t="s">
        <v>12</v>
      </c>
      <c r="C8" s="4">
        <v>88150</v>
      </c>
      <c r="D8" s="4">
        <f t="shared" ref="D8:F8" si="3">C8</f>
        <v>88150</v>
      </c>
      <c r="E8" s="4">
        <f t="shared" si="3"/>
        <v>88150</v>
      </c>
      <c r="F8" s="4">
        <f t="shared" si="3"/>
        <v>88150</v>
      </c>
    </row>
    <row r="9" spans="1:6" ht="15.75" customHeight="1" x14ac:dyDescent="0.2">
      <c r="A9" s="93"/>
      <c r="B9" s="3" t="s">
        <v>13</v>
      </c>
      <c r="C9" s="4">
        <f t="shared" ref="C9:F9" si="4">C5</f>
        <v>15000</v>
      </c>
      <c r="D9" s="4">
        <f t="shared" si="4"/>
        <v>13000</v>
      </c>
      <c r="E9" s="4">
        <f t="shared" si="4"/>
        <v>11000</v>
      </c>
      <c r="F9" s="4">
        <f t="shared" si="4"/>
        <v>5000</v>
      </c>
    </row>
    <row r="10" spans="1:6" ht="15.75" customHeight="1" x14ac:dyDescent="0.2">
      <c r="A10" s="93"/>
      <c r="B10" s="6" t="s">
        <v>14</v>
      </c>
      <c r="C10" s="7">
        <f t="shared" ref="C10:F10" si="5">(C8-C9)*2*0.95</f>
        <v>138985</v>
      </c>
      <c r="D10" s="7">
        <f t="shared" si="5"/>
        <v>142785</v>
      </c>
      <c r="E10" s="7">
        <f t="shared" si="5"/>
        <v>146585</v>
      </c>
      <c r="F10" s="7">
        <f t="shared" si="5"/>
        <v>157985</v>
      </c>
    </row>
    <row r="11" spans="1:6" ht="15.75" customHeight="1" x14ac:dyDescent="0.2">
      <c r="A11" s="94"/>
      <c r="B11" s="6" t="s">
        <v>15</v>
      </c>
      <c r="C11" s="7">
        <f t="shared" ref="C11:F11" si="6">(C8-C9)</f>
        <v>73150</v>
      </c>
      <c r="D11" s="7">
        <f t="shared" si="6"/>
        <v>75150</v>
      </c>
      <c r="E11" s="7">
        <f t="shared" si="6"/>
        <v>77150</v>
      </c>
      <c r="F11" s="7">
        <f t="shared" si="6"/>
        <v>83150</v>
      </c>
    </row>
    <row r="12" spans="1:6" ht="15.75" customHeight="1" x14ac:dyDescent="0.2">
      <c r="A12" s="76" t="s">
        <v>19</v>
      </c>
      <c r="B12" s="75"/>
      <c r="C12" s="9">
        <f t="shared" ref="C12:F12" si="7">SUM(C6,C10)</f>
        <v>273315</v>
      </c>
      <c r="D12" s="9">
        <f t="shared" si="7"/>
        <v>280915</v>
      </c>
      <c r="E12" s="9">
        <f t="shared" si="7"/>
        <v>288515</v>
      </c>
      <c r="F12" s="9">
        <f t="shared" si="7"/>
        <v>311315</v>
      </c>
    </row>
    <row r="13" spans="1:6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144"/>
    </row>
    <row r="14" spans="1:6" ht="15.75" customHeight="1" x14ac:dyDescent="0.2">
      <c r="A14" s="79"/>
      <c r="B14" s="80"/>
      <c r="C14" s="83" t="s">
        <v>22</v>
      </c>
      <c r="D14" s="75"/>
      <c r="E14" s="44">
        <v>5000</v>
      </c>
      <c r="F14" s="93"/>
    </row>
    <row r="15" spans="1:6" ht="15.75" customHeight="1" x14ac:dyDescent="0.2">
      <c r="A15" s="81"/>
      <c r="B15" s="82"/>
      <c r="C15" s="88" t="s">
        <v>23</v>
      </c>
      <c r="D15" s="75"/>
      <c r="E15" s="10">
        <v>3000</v>
      </c>
      <c r="F15" s="93"/>
    </row>
    <row r="16" spans="1:6" ht="15.75" customHeight="1" x14ac:dyDescent="0.2">
      <c r="A16" s="89" t="s">
        <v>24</v>
      </c>
      <c r="B16" s="78"/>
      <c r="C16" s="76" t="s">
        <v>25</v>
      </c>
      <c r="D16" s="75"/>
      <c r="E16" s="3">
        <v>21100</v>
      </c>
      <c r="F16" s="93"/>
    </row>
    <row r="17" spans="1:6" ht="15.75" customHeight="1" x14ac:dyDescent="0.2">
      <c r="A17" s="81"/>
      <c r="B17" s="82"/>
      <c r="C17" s="76" t="s">
        <v>26</v>
      </c>
      <c r="D17" s="75"/>
      <c r="E17" s="3">
        <v>11050</v>
      </c>
      <c r="F17" s="94"/>
    </row>
    <row r="18" spans="1:6" ht="15.75" customHeight="1" x14ac:dyDescent="0.2">
      <c r="A18" s="73" t="s">
        <v>27</v>
      </c>
      <c r="B18" s="74"/>
      <c r="C18" s="74"/>
      <c r="D18" s="74"/>
      <c r="E18" s="74"/>
      <c r="F18" s="75"/>
    </row>
    <row r="19" spans="1:6" ht="15.75" customHeight="1" x14ac:dyDescent="0.2">
      <c r="A19" s="73" t="s">
        <v>28</v>
      </c>
      <c r="B19" s="74"/>
      <c r="C19" s="74"/>
      <c r="D19" s="74"/>
      <c r="E19" s="74"/>
      <c r="F19" s="75"/>
    </row>
    <row r="20" spans="1:6" ht="15.75" customHeight="1" x14ac:dyDescent="0.2">
      <c r="A20" s="73" t="s">
        <v>29</v>
      </c>
      <c r="B20" s="74"/>
      <c r="C20" s="74"/>
      <c r="D20" s="74"/>
      <c r="E20" s="74"/>
      <c r="F20" s="75"/>
    </row>
    <row r="21" spans="1:6" ht="15.75" customHeight="1" x14ac:dyDescent="0.2">
      <c r="A21" s="73" t="s">
        <v>30</v>
      </c>
      <c r="B21" s="74"/>
      <c r="C21" s="74"/>
      <c r="D21" s="74"/>
      <c r="E21" s="74"/>
      <c r="F21" s="75"/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F18"/>
    <mergeCell ref="A19:F19"/>
    <mergeCell ref="A20:F20"/>
    <mergeCell ref="A21:F21"/>
    <mergeCell ref="F13:F17"/>
    <mergeCell ref="C15:D15"/>
    <mergeCell ref="C13:D13"/>
    <mergeCell ref="C14:D14"/>
    <mergeCell ref="A13:B15"/>
    <mergeCell ref="A16:B17"/>
    <mergeCell ref="C16:D16"/>
    <mergeCell ref="A1:F1"/>
    <mergeCell ref="A2:F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0.6640625" customWidth="1"/>
    <col min="4" max="4" width="19.6640625" customWidth="1"/>
    <col min="5" max="5" width="23.1640625" customWidth="1"/>
    <col min="6" max="6" width="25.1640625" customWidth="1"/>
    <col min="7" max="26" width="11.1640625" customWidth="1"/>
  </cols>
  <sheetData>
    <row r="1" spans="1:6" ht="15.75" customHeight="1" x14ac:dyDescent="0.2">
      <c r="A1" s="90" t="s">
        <v>286</v>
      </c>
      <c r="B1" s="74"/>
      <c r="C1" s="74"/>
      <c r="D1" s="74"/>
      <c r="E1" s="74"/>
      <c r="F1" s="75"/>
    </row>
    <row r="2" spans="1:6" ht="51" customHeight="1" x14ac:dyDescent="0.2">
      <c r="A2" s="91" t="s">
        <v>287</v>
      </c>
      <c r="B2" s="74"/>
      <c r="C2" s="74"/>
      <c r="D2" s="74"/>
      <c r="E2" s="74"/>
      <c r="F2" s="75"/>
    </row>
    <row r="3" spans="1:6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283</v>
      </c>
    </row>
    <row r="4" spans="1:6" ht="15.75" customHeight="1" x14ac:dyDescent="0.2">
      <c r="A4" s="92" t="s">
        <v>11</v>
      </c>
      <c r="B4" s="3" t="s">
        <v>12</v>
      </c>
      <c r="C4" s="16">
        <v>85700</v>
      </c>
      <c r="D4" s="16">
        <f t="shared" ref="D4:F4" si="0">C4</f>
        <v>85700</v>
      </c>
      <c r="E4" s="16">
        <f t="shared" si="0"/>
        <v>85700</v>
      </c>
      <c r="F4" s="16">
        <f t="shared" si="0"/>
        <v>85700</v>
      </c>
    </row>
    <row r="5" spans="1:6" ht="15.75" customHeight="1" x14ac:dyDescent="0.2">
      <c r="A5" s="93"/>
      <c r="B5" s="3" t="s">
        <v>13</v>
      </c>
      <c r="C5" s="17">
        <v>15000</v>
      </c>
      <c r="D5" s="17">
        <v>13000</v>
      </c>
      <c r="E5" s="17">
        <v>11000</v>
      </c>
      <c r="F5" s="17">
        <v>5000</v>
      </c>
    </row>
    <row r="6" spans="1:6" ht="15.75" customHeight="1" x14ac:dyDescent="0.2">
      <c r="A6" s="93"/>
      <c r="B6" s="6" t="s">
        <v>14</v>
      </c>
      <c r="C6" s="7">
        <f t="shared" ref="C6:F6" si="1">(C4-C5)*2*0.95</f>
        <v>134330</v>
      </c>
      <c r="D6" s="7">
        <f t="shared" si="1"/>
        <v>138130</v>
      </c>
      <c r="E6" s="7">
        <f t="shared" si="1"/>
        <v>141930</v>
      </c>
      <c r="F6" s="7">
        <f t="shared" si="1"/>
        <v>153330</v>
      </c>
    </row>
    <row r="7" spans="1:6" ht="15.75" customHeight="1" x14ac:dyDescent="0.2">
      <c r="A7" s="94"/>
      <c r="B7" s="6" t="s">
        <v>15</v>
      </c>
      <c r="C7" s="7">
        <f t="shared" ref="C7:F7" si="2">(C4-C5)</f>
        <v>70700</v>
      </c>
      <c r="D7" s="7">
        <f t="shared" si="2"/>
        <v>72700</v>
      </c>
      <c r="E7" s="7">
        <f t="shared" si="2"/>
        <v>74700</v>
      </c>
      <c r="F7" s="7">
        <f t="shared" si="2"/>
        <v>80700</v>
      </c>
    </row>
    <row r="8" spans="1:6" ht="15.75" customHeight="1" x14ac:dyDescent="0.2">
      <c r="A8" s="92" t="s">
        <v>16</v>
      </c>
      <c r="B8" s="3" t="s">
        <v>12</v>
      </c>
      <c r="C8" s="4">
        <v>88150</v>
      </c>
      <c r="D8" s="4">
        <f t="shared" ref="D8:F8" si="3">C8</f>
        <v>88150</v>
      </c>
      <c r="E8" s="4">
        <f t="shared" si="3"/>
        <v>88150</v>
      </c>
      <c r="F8" s="4">
        <f t="shared" si="3"/>
        <v>88150</v>
      </c>
    </row>
    <row r="9" spans="1:6" ht="15.75" customHeight="1" x14ac:dyDescent="0.2">
      <c r="A9" s="93"/>
      <c r="B9" s="3" t="s">
        <v>13</v>
      </c>
      <c r="C9" s="4">
        <f t="shared" ref="C9:F9" si="4">C5</f>
        <v>15000</v>
      </c>
      <c r="D9" s="4">
        <f t="shared" si="4"/>
        <v>13000</v>
      </c>
      <c r="E9" s="4">
        <f t="shared" si="4"/>
        <v>11000</v>
      </c>
      <c r="F9" s="4">
        <f t="shared" si="4"/>
        <v>5000</v>
      </c>
    </row>
    <row r="10" spans="1:6" ht="15.75" customHeight="1" x14ac:dyDescent="0.2">
      <c r="A10" s="93"/>
      <c r="B10" s="6" t="s">
        <v>14</v>
      </c>
      <c r="C10" s="7">
        <f t="shared" ref="C10:F10" si="5">(C8-C9)*2*0.95</f>
        <v>138985</v>
      </c>
      <c r="D10" s="7">
        <f t="shared" si="5"/>
        <v>142785</v>
      </c>
      <c r="E10" s="7">
        <f t="shared" si="5"/>
        <v>146585</v>
      </c>
      <c r="F10" s="7">
        <f t="shared" si="5"/>
        <v>157985</v>
      </c>
    </row>
    <row r="11" spans="1:6" ht="15.75" customHeight="1" x14ac:dyDescent="0.2">
      <c r="A11" s="94"/>
      <c r="B11" s="6" t="s">
        <v>15</v>
      </c>
      <c r="C11" s="7">
        <f t="shared" ref="C11:F11" si="6">(C8-C9)</f>
        <v>73150</v>
      </c>
      <c r="D11" s="7">
        <f t="shared" si="6"/>
        <v>75150</v>
      </c>
      <c r="E11" s="7">
        <f t="shared" si="6"/>
        <v>77150</v>
      </c>
      <c r="F11" s="7">
        <f t="shared" si="6"/>
        <v>83150</v>
      </c>
    </row>
    <row r="12" spans="1:6" ht="15.75" customHeight="1" x14ac:dyDescent="0.2">
      <c r="A12" s="76" t="s">
        <v>19</v>
      </c>
      <c r="B12" s="75"/>
      <c r="C12" s="9">
        <f t="shared" ref="C12:F12" si="7">SUM(C6,C10)</f>
        <v>273315</v>
      </c>
      <c r="D12" s="9">
        <f t="shared" si="7"/>
        <v>280915</v>
      </c>
      <c r="E12" s="9">
        <f t="shared" si="7"/>
        <v>288515</v>
      </c>
      <c r="F12" s="9">
        <f t="shared" si="7"/>
        <v>311315</v>
      </c>
    </row>
    <row r="13" spans="1:6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144"/>
    </row>
    <row r="14" spans="1:6" ht="15.75" customHeight="1" x14ac:dyDescent="0.2">
      <c r="A14" s="79"/>
      <c r="B14" s="80"/>
      <c r="C14" s="83" t="s">
        <v>22</v>
      </c>
      <c r="D14" s="75"/>
      <c r="E14" s="44">
        <v>5000</v>
      </c>
      <c r="F14" s="93"/>
    </row>
    <row r="15" spans="1:6" ht="15.75" customHeight="1" x14ac:dyDescent="0.2">
      <c r="A15" s="81"/>
      <c r="B15" s="82"/>
      <c r="C15" s="88" t="s">
        <v>23</v>
      </c>
      <c r="D15" s="75"/>
      <c r="E15" s="10">
        <v>3000</v>
      </c>
      <c r="F15" s="93"/>
    </row>
    <row r="16" spans="1:6" ht="15.75" customHeight="1" x14ac:dyDescent="0.2">
      <c r="A16" s="89" t="s">
        <v>24</v>
      </c>
      <c r="B16" s="78"/>
      <c r="C16" s="76" t="s">
        <v>25</v>
      </c>
      <c r="D16" s="75"/>
      <c r="E16" s="3">
        <v>21100</v>
      </c>
      <c r="F16" s="93"/>
    </row>
    <row r="17" spans="1:6" ht="15.75" customHeight="1" x14ac:dyDescent="0.2">
      <c r="A17" s="81"/>
      <c r="B17" s="82"/>
      <c r="C17" s="76" t="s">
        <v>26</v>
      </c>
      <c r="D17" s="75"/>
      <c r="E17" s="3">
        <v>11050</v>
      </c>
      <c r="F17" s="94"/>
    </row>
    <row r="18" spans="1:6" ht="15.75" customHeight="1" x14ac:dyDescent="0.2">
      <c r="A18" s="73" t="s">
        <v>27</v>
      </c>
      <c r="B18" s="74"/>
      <c r="C18" s="74"/>
      <c r="D18" s="74"/>
      <c r="E18" s="74"/>
      <c r="F18" s="75"/>
    </row>
    <row r="19" spans="1:6" ht="15.75" customHeight="1" x14ac:dyDescent="0.2">
      <c r="A19" s="73" t="s">
        <v>28</v>
      </c>
      <c r="B19" s="74"/>
      <c r="C19" s="74"/>
      <c r="D19" s="74"/>
      <c r="E19" s="74"/>
      <c r="F19" s="75"/>
    </row>
    <row r="20" spans="1:6" ht="15.75" customHeight="1" x14ac:dyDescent="0.2">
      <c r="A20" s="73" t="s">
        <v>29</v>
      </c>
      <c r="B20" s="74"/>
      <c r="C20" s="74"/>
      <c r="D20" s="74"/>
      <c r="E20" s="74"/>
      <c r="F20" s="75"/>
    </row>
    <row r="21" spans="1:6" ht="15.75" customHeight="1" x14ac:dyDescent="0.2">
      <c r="A21" s="73" t="s">
        <v>30</v>
      </c>
      <c r="B21" s="74"/>
      <c r="C21" s="74"/>
      <c r="D21" s="74"/>
      <c r="E21" s="74"/>
      <c r="F21" s="75"/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F18"/>
    <mergeCell ref="A19:F19"/>
    <mergeCell ref="A20:F20"/>
    <mergeCell ref="A21:F21"/>
    <mergeCell ref="F13:F17"/>
    <mergeCell ref="C15:D15"/>
    <mergeCell ref="C13:D13"/>
    <mergeCell ref="C14:D14"/>
    <mergeCell ref="A13:B15"/>
    <mergeCell ref="A16:B17"/>
    <mergeCell ref="C16:D16"/>
    <mergeCell ref="A1:F1"/>
    <mergeCell ref="A2:F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1000"/>
  <sheetViews>
    <sheetView workbookViewId="0">
      <selection activeCell="J20" sqref="J20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90" t="s">
        <v>288</v>
      </c>
      <c r="B1" s="74"/>
      <c r="C1" s="74"/>
      <c r="D1" s="74"/>
      <c r="E1" s="74"/>
      <c r="F1" s="74"/>
      <c r="G1" s="74"/>
      <c r="H1" s="75"/>
    </row>
    <row r="2" spans="1:8" ht="44.25" customHeight="1" x14ac:dyDescent="0.2">
      <c r="A2" s="91" t="s">
        <v>289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39700</v>
      </c>
      <c r="D4" s="16">
        <f t="shared" ref="D4:H4" si="0">C4</f>
        <v>39700</v>
      </c>
      <c r="E4" s="16">
        <f t="shared" si="0"/>
        <v>39700</v>
      </c>
      <c r="F4" s="16">
        <f t="shared" si="0"/>
        <v>39700</v>
      </c>
      <c r="G4" s="16">
        <f t="shared" si="0"/>
        <v>39700</v>
      </c>
      <c r="H4" s="16">
        <f t="shared" si="0"/>
        <v>39700</v>
      </c>
    </row>
    <row r="5" spans="1:8" ht="15.75" customHeight="1" x14ac:dyDescent="0.2">
      <c r="A5" s="93"/>
      <c r="B5" s="3" t="s">
        <v>13</v>
      </c>
      <c r="C5" s="4">
        <v>6000</v>
      </c>
      <c r="D5" s="4">
        <v>5000</v>
      </c>
      <c r="E5" s="4">
        <v>4000</v>
      </c>
      <c r="F5" s="4">
        <v>3000</v>
      </c>
      <c r="G5" s="4">
        <v>2000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64030</v>
      </c>
      <c r="D6" s="7">
        <f t="shared" si="1"/>
        <v>65930</v>
      </c>
      <c r="E6" s="7">
        <f t="shared" si="1"/>
        <v>67830</v>
      </c>
      <c r="F6" s="7">
        <f t="shared" si="1"/>
        <v>69730</v>
      </c>
      <c r="G6" s="7">
        <f t="shared" si="1"/>
        <v>71630</v>
      </c>
      <c r="H6" s="7">
        <f t="shared" si="1"/>
        <v>75430</v>
      </c>
    </row>
    <row r="7" spans="1:8" ht="15.75" customHeight="1" x14ac:dyDescent="0.2">
      <c r="A7" s="94"/>
      <c r="B7" s="6" t="s">
        <v>15</v>
      </c>
      <c r="C7" s="7">
        <f t="shared" ref="C7:H7" si="2">(C4-C5)</f>
        <v>33700</v>
      </c>
      <c r="D7" s="7">
        <f t="shared" si="2"/>
        <v>34700</v>
      </c>
      <c r="E7" s="7">
        <f t="shared" si="2"/>
        <v>35700</v>
      </c>
      <c r="F7" s="7">
        <f t="shared" si="2"/>
        <v>36700</v>
      </c>
      <c r="G7" s="7">
        <f t="shared" si="2"/>
        <v>37700</v>
      </c>
      <c r="H7" s="7">
        <f t="shared" si="2"/>
        <v>39700</v>
      </c>
    </row>
    <row r="8" spans="1:8" ht="15.75" customHeight="1" x14ac:dyDescent="0.2">
      <c r="A8" s="92" t="s">
        <v>16</v>
      </c>
      <c r="B8" s="3" t="s">
        <v>12</v>
      </c>
      <c r="C8" s="4">
        <v>39850</v>
      </c>
      <c r="D8" s="4">
        <f t="shared" ref="D8:H8" si="3">C8</f>
        <v>39850</v>
      </c>
      <c r="E8" s="4">
        <f t="shared" si="3"/>
        <v>39850</v>
      </c>
      <c r="F8" s="4">
        <f t="shared" si="3"/>
        <v>39850</v>
      </c>
      <c r="G8" s="4">
        <f t="shared" si="3"/>
        <v>39850</v>
      </c>
      <c r="H8" s="4">
        <f t="shared" si="3"/>
        <v>39850</v>
      </c>
    </row>
    <row r="9" spans="1:8" ht="15.75" customHeight="1" x14ac:dyDescent="0.2">
      <c r="A9" s="93"/>
      <c r="B9" s="3" t="s">
        <v>13</v>
      </c>
      <c r="C9" s="4">
        <f t="shared" ref="C9:H9" si="4">C5</f>
        <v>6000</v>
      </c>
      <c r="D9" s="4">
        <f t="shared" si="4"/>
        <v>5000</v>
      </c>
      <c r="E9" s="4">
        <f t="shared" si="4"/>
        <v>4000</v>
      </c>
      <c r="F9" s="4">
        <f t="shared" si="4"/>
        <v>3000</v>
      </c>
      <c r="G9" s="4">
        <f t="shared" si="4"/>
        <v>2000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64315</v>
      </c>
      <c r="D10" s="7">
        <f t="shared" si="5"/>
        <v>66215</v>
      </c>
      <c r="E10" s="7">
        <f t="shared" si="5"/>
        <v>68115</v>
      </c>
      <c r="F10" s="7">
        <f t="shared" si="5"/>
        <v>70015</v>
      </c>
      <c r="G10" s="7">
        <f t="shared" si="5"/>
        <v>71915</v>
      </c>
      <c r="H10" s="7">
        <f t="shared" si="5"/>
        <v>75715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33850</v>
      </c>
      <c r="D11" s="7">
        <f t="shared" si="6"/>
        <v>34850</v>
      </c>
      <c r="E11" s="7">
        <f t="shared" si="6"/>
        <v>35850</v>
      </c>
      <c r="F11" s="7">
        <f t="shared" si="6"/>
        <v>36850</v>
      </c>
      <c r="G11" s="7">
        <f t="shared" si="6"/>
        <v>37850</v>
      </c>
      <c r="H11" s="7">
        <f t="shared" si="6"/>
        <v>39850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41842.5</v>
      </c>
      <c r="D12" s="4">
        <f t="shared" ref="D12:H12" si="7">C12</f>
        <v>41842.5</v>
      </c>
      <c r="E12" s="4">
        <f t="shared" si="7"/>
        <v>41842.5</v>
      </c>
      <c r="F12" s="4">
        <f t="shared" si="7"/>
        <v>41842.5</v>
      </c>
      <c r="G12" s="4">
        <f t="shared" si="7"/>
        <v>41842.5</v>
      </c>
      <c r="H12" s="4">
        <f t="shared" si="7"/>
        <v>41842.5</v>
      </c>
    </row>
    <row r="13" spans="1:8" ht="15.75" customHeight="1" x14ac:dyDescent="0.2">
      <c r="A13" s="93"/>
      <c r="B13" s="3" t="s">
        <v>13</v>
      </c>
      <c r="C13" s="4">
        <f t="shared" ref="C13:H13" si="8">C5</f>
        <v>6000</v>
      </c>
      <c r="D13" s="4">
        <f t="shared" si="8"/>
        <v>5000</v>
      </c>
      <c r="E13" s="4">
        <f t="shared" si="8"/>
        <v>4000</v>
      </c>
      <c r="F13" s="4">
        <f t="shared" si="8"/>
        <v>3000</v>
      </c>
      <c r="G13" s="4">
        <f t="shared" si="8"/>
        <v>2000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68100.75</v>
      </c>
      <c r="D14" s="7">
        <f t="shared" si="9"/>
        <v>70000.75</v>
      </c>
      <c r="E14" s="7">
        <f t="shared" si="9"/>
        <v>71900.75</v>
      </c>
      <c r="F14" s="7">
        <f t="shared" si="9"/>
        <v>73800.75</v>
      </c>
      <c r="G14" s="7">
        <f t="shared" si="9"/>
        <v>75700.75</v>
      </c>
      <c r="H14" s="7">
        <f t="shared" si="9"/>
        <v>79500.75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35842.5</v>
      </c>
      <c r="D15" s="7">
        <f t="shared" si="10"/>
        <v>36842.5</v>
      </c>
      <c r="E15" s="7">
        <f t="shared" si="10"/>
        <v>37842.5</v>
      </c>
      <c r="F15" s="7">
        <f t="shared" si="10"/>
        <v>38842.5</v>
      </c>
      <c r="G15" s="7">
        <f t="shared" si="10"/>
        <v>39842.5</v>
      </c>
      <c r="H15" s="7">
        <f t="shared" si="10"/>
        <v>41842.5</v>
      </c>
    </row>
    <row r="16" spans="1:8" ht="15.75" customHeight="1" x14ac:dyDescent="0.2">
      <c r="A16" s="92" t="s">
        <v>191</v>
      </c>
      <c r="B16" s="3" t="s">
        <v>12</v>
      </c>
      <c r="C16" s="4">
        <f>C12*1.05</f>
        <v>43934.625</v>
      </c>
      <c r="D16" s="4">
        <f t="shared" ref="D16:H16" si="11">C16</f>
        <v>43934.625</v>
      </c>
      <c r="E16" s="4">
        <f t="shared" si="11"/>
        <v>43934.625</v>
      </c>
      <c r="F16" s="4">
        <f t="shared" si="11"/>
        <v>43934.625</v>
      </c>
      <c r="G16" s="4">
        <f t="shared" si="11"/>
        <v>43934.625</v>
      </c>
      <c r="H16" s="4">
        <f t="shared" si="11"/>
        <v>43934.625</v>
      </c>
    </row>
    <row r="17" spans="1:8" ht="15.75" customHeight="1" x14ac:dyDescent="0.2">
      <c r="A17" s="93"/>
      <c r="B17" s="3" t="s">
        <v>13</v>
      </c>
      <c r="C17" s="4">
        <f t="shared" ref="C17:H17" si="12">C9</f>
        <v>6000</v>
      </c>
      <c r="D17" s="4">
        <f t="shared" si="12"/>
        <v>5000</v>
      </c>
      <c r="E17" s="4">
        <f t="shared" si="12"/>
        <v>4000</v>
      </c>
      <c r="F17" s="4">
        <f t="shared" si="12"/>
        <v>3000</v>
      </c>
      <c r="G17" s="4">
        <f t="shared" si="12"/>
        <v>2000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72075.787499999991</v>
      </c>
      <c r="D18" s="7">
        <f t="shared" si="13"/>
        <v>73975.787499999991</v>
      </c>
      <c r="E18" s="7">
        <f t="shared" si="13"/>
        <v>75875.787499999991</v>
      </c>
      <c r="F18" s="7">
        <f t="shared" si="13"/>
        <v>77775.787499999991</v>
      </c>
      <c r="G18" s="7">
        <f t="shared" si="13"/>
        <v>79675.787499999991</v>
      </c>
      <c r="H18" s="7">
        <f t="shared" si="13"/>
        <v>83475.787499999991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37934.625</v>
      </c>
      <c r="D19" s="7">
        <f t="shared" si="14"/>
        <v>38934.625</v>
      </c>
      <c r="E19" s="7">
        <f t="shared" si="14"/>
        <v>39934.625</v>
      </c>
      <c r="F19" s="7">
        <f t="shared" si="14"/>
        <v>40934.625</v>
      </c>
      <c r="G19" s="7">
        <f t="shared" si="14"/>
        <v>41934.625</v>
      </c>
      <c r="H19" s="7">
        <f t="shared" si="14"/>
        <v>43934.625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268521.53749999998</v>
      </c>
      <c r="D20" s="9">
        <f t="shared" si="15"/>
        <v>276121.53749999998</v>
      </c>
      <c r="E20" s="9">
        <f t="shared" si="15"/>
        <v>283721.53749999998</v>
      </c>
      <c r="F20" s="9">
        <f t="shared" si="15"/>
        <v>291321.53749999998</v>
      </c>
      <c r="G20" s="9">
        <f t="shared" si="15"/>
        <v>298921.53749999998</v>
      </c>
      <c r="H20" s="9">
        <f t="shared" si="15"/>
        <v>314121.53749999998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73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73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3037-66F3-46A5-8E7B-29A53BD69BAA}">
  <dimension ref="A1:H30"/>
  <sheetViews>
    <sheetView topLeftCell="A4" workbookViewId="0">
      <selection activeCell="A26" sqref="A26:H26"/>
    </sheetView>
  </sheetViews>
  <sheetFormatPr baseColWidth="10" defaultColWidth="8.83203125" defaultRowHeight="16" x14ac:dyDescent="0.2"/>
  <cols>
    <col min="7" max="7" width="23.1640625" customWidth="1"/>
    <col min="8" max="8" width="14.5" customWidth="1"/>
  </cols>
  <sheetData>
    <row r="1" spans="1:8" x14ac:dyDescent="0.2">
      <c r="A1" s="90" t="s">
        <v>290</v>
      </c>
      <c r="B1" s="74"/>
      <c r="C1" s="74"/>
      <c r="D1" s="74"/>
      <c r="E1" s="74"/>
      <c r="F1" s="74"/>
      <c r="G1" s="74"/>
      <c r="H1" s="75"/>
    </row>
    <row r="2" spans="1:8" x14ac:dyDescent="0.2">
      <c r="A2" s="91" t="s">
        <v>291</v>
      </c>
      <c r="B2" s="74"/>
      <c r="C2" s="74"/>
      <c r="D2" s="74"/>
      <c r="E2" s="74"/>
      <c r="F2" s="74"/>
      <c r="G2" s="74"/>
      <c r="H2" s="75"/>
    </row>
    <row r="3" spans="1:8" ht="130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x14ac:dyDescent="0.2">
      <c r="A4" s="92" t="s">
        <v>11</v>
      </c>
      <c r="B4" s="3" t="s">
        <v>12</v>
      </c>
      <c r="C4" s="16">
        <v>39700</v>
      </c>
      <c r="D4" s="16">
        <f t="shared" ref="D4:H4" si="0">C4</f>
        <v>39700</v>
      </c>
      <c r="E4" s="16">
        <f t="shared" si="0"/>
        <v>39700</v>
      </c>
      <c r="F4" s="16">
        <f t="shared" si="0"/>
        <v>39700</v>
      </c>
      <c r="G4" s="16">
        <f t="shared" si="0"/>
        <v>39700</v>
      </c>
      <c r="H4" s="16">
        <f t="shared" si="0"/>
        <v>39700</v>
      </c>
    </row>
    <row r="5" spans="1:8" x14ac:dyDescent="0.2">
      <c r="A5" s="93"/>
      <c r="B5" s="3" t="s">
        <v>13</v>
      </c>
      <c r="C5" s="4">
        <v>6000</v>
      </c>
      <c r="D5" s="4">
        <v>5000</v>
      </c>
      <c r="E5" s="4">
        <v>4000</v>
      </c>
      <c r="F5" s="4">
        <v>3000</v>
      </c>
      <c r="G5" s="4">
        <v>2000</v>
      </c>
      <c r="H5" s="17">
        <v>0</v>
      </c>
    </row>
    <row r="6" spans="1:8" x14ac:dyDescent="0.2">
      <c r="A6" s="93"/>
      <c r="B6" s="6" t="s">
        <v>14</v>
      </c>
      <c r="C6" s="7">
        <f t="shared" ref="C6:H6" si="1">(C4-C5)*2*0.95</f>
        <v>64030</v>
      </c>
      <c r="D6" s="7">
        <f t="shared" si="1"/>
        <v>65930</v>
      </c>
      <c r="E6" s="7">
        <f t="shared" si="1"/>
        <v>67830</v>
      </c>
      <c r="F6" s="7">
        <f t="shared" si="1"/>
        <v>69730</v>
      </c>
      <c r="G6" s="7">
        <f t="shared" si="1"/>
        <v>71630</v>
      </c>
      <c r="H6" s="7">
        <f t="shared" si="1"/>
        <v>75430</v>
      </c>
    </row>
    <row r="7" spans="1:8" x14ac:dyDescent="0.2">
      <c r="A7" s="94"/>
      <c r="B7" s="6" t="s">
        <v>15</v>
      </c>
      <c r="C7" s="7">
        <f t="shared" ref="C7:H7" si="2">(C4-C5)</f>
        <v>33700</v>
      </c>
      <c r="D7" s="7">
        <f t="shared" si="2"/>
        <v>34700</v>
      </c>
      <c r="E7" s="7">
        <f t="shared" si="2"/>
        <v>35700</v>
      </c>
      <c r="F7" s="7">
        <f t="shared" si="2"/>
        <v>36700</v>
      </c>
      <c r="G7" s="7">
        <f t="shared" si="2"/>
        <v>37700</v>
      </c>
      <c r="H7" s="7">
        <f t="shared" si="2"/>
        <v>39700</v>
      </c>
    </row>
    <row r="8" spans="1:8" x14ac:dyDescent="0.2">
      <c r="A8" s="92" t="s">
        <v>16</v>
      </c>
      <c r="B8" s="3" t="s">
        <v>12</v>
      </c>
      <c r="C8" s="4">
        <v>39850</v>
      </c>
      <c r="D8" s="4">
        <f t="shared" ref="D8:H8" si="3">C8</f>
        <v>39850</v>
      </c>
      <c r="E8" s="4">
        <f t="shared" si="3"/>
        <v>39850</v>
      </c>
      <c r="F8" s="4">
        <f t="shared" si="3"/>
        <v>39850</v>
      </c>
      <c r="G8" s="4">
        <f t="shared" si="3"/>
        <v>39850</v>
      </c>
      <c r="H8" s="4">
        <f t="shared" si="3"/>
        <v>39850</v>
      </c>
    </row>
    <row r="9" spans="1:8" x14ac:dyDescent="0.2">
      <c r="A9" s="93"/>
      <c r="B9" s="3" t="s">
        <v>13</v>
      </c>
      <c r="C9" s="4">
        <f t="shared" ref="C9:H9" si="4">C5</f>
        <v>6000</v>
      </c>
      <c r="D9" s="4">
        <f t="shared" si="4"/>
        <v>5000</v>
      </c>
      <c r="E9" s="4">
        <f t="shared" si="4"/>
        <v>4000</v>
      </c>
      <c r="F9" s="4">
        <f t="shared" si="4"/>
        <v>3000</v>
      </c>
      <c r="G9" s="4">
        <f t="shared" si="4"/>
        <v>2000</v>
      </c>
      <c r="H9" s="4">
        <f t="shared" si="4"/>
        <v>0</v>
      </c>
    </row>
    <row r="10" spans="1:8" x14ac:dyDescent="0.2">
      <c r="A10" s="93"/>
      <c r="B10" s="6" t="s">
        <v>14</v>
      </c>
      <c r="C10" s="7">
        <f t="shared" ref="C10:H10" si="5">(C8-C9)*2*0.95</f>
        <v>64315</v>
      </c>
      <c r="D10" s="7">
        <f t="shared" si="5"/>
        <v>66215</v>
      </c>
      <c r="E10" s="7">
        <f t="shared" si="5"/>
        <v>68115</v>
      </c>
      <c r="F10" s="7">
        <f t="shared" si="5"/>
        <v>70015</v>
      </c>
      <c r="G10" s="7">
        <f t="shared" si="5"/>
        <v>71915</v>
      </c>
      <c r="H10" s="7">
        <f t="shared" si="5"/>
        <v>75715</v>
      </c>
    </row>
    <row r="11" spans="1:8" x14ac:dyDescent="0.2">
      <c r="A11" s="94"/>
      <c r="B11" s="6" t="s">
        <v>15</v>
      </c>
      <c r="C11" s="7">
        <f t="shared" ref="C11:H11" si="6">(C8-C9)</f>
        <v>33850</v>
      </c>
      <c r="D11" s="7">
        <f t="shared" si="6"/>
        <v>34850</v>
      </c>
      <c r="E11" s="7">
        <f t="shared" si="6"/>
        <v>35850</v>
      </c>
      <c r="F11" s="7">
        <f t="shared" si="6"/>
        <v>36850</v>
      </c>
      <c r="G11" s="7">
        <f t="shared" si="6"/>
        <v>37850</v>
      </c>
      <c r="H11" s="7">
        <f t="shared" si="6"/>
        <v>39850</v>
      </c>
    </row>
    <row r="12" spans="1:8" x14ac:dyDescent="0.2">
      <c r="A12" s="92" t="s">
        <v>17</v>
      </c>
      <c r="B12" s="3" t="s">
        <v>12</v>
      </c>
      <c r="C12" s="4">
        <f>C8*1.05</f>
        <v>41842.5</v>
      </c>
      <c r="D12" s="4">
        <f t="shared" ref="D12:H12" si="7">C12</f>
        <v>41842.5</v>
      </c>
      <c r="E12" s="4">
        <f t="shared" si="7"/>
        <v>41842.5</v>
      </c>
      <c r="F12" s="4">
        <f t="shared" si="7"/>
        <v>41842.5</v>
      </c>
      <c r="G12" s="4">
        <f t="shared" si="7"/>
        <v>41842.5</v>
      </c>
      <c r="H12" s="4">
        <f t="shared" si="7"/>
        <v>41842.5</v>
      </c>
    </row>
    <row r="13" spans="1:8" x14ac:dyDescent="0.2">
      <c r="A13" s="93"/>
      <c r="B13" s="3" t="s">
        <v>13</v>
      </c>
      <c r="C13" s="4">
        <f t="shared" ref="C13:H13" si="8">C5</f>
        <v>6000</v>
      </c>
      <c r="D13" s="4">
        <f t="shared" si="8"/>
        <v>5000</v>
      </c>
      <c r="E13" s="4">
        <f t="shared" si="8"/>
        <v>4000</v>
      </c>
      <c r="F13" s="4">
        <f t="shared" si="8"/>
        <v>3000</v>
      </c>
      <c r="G13" s="4">
        <f t="shared" si="8"/>
        <v>2000</v>
      </c>
      <c r="H13" s="4">
        <f t="shared" si="8"/>
        <v>0</v>
      </c>
    </row>
    <row r="14" spans="1:8" x14ac:dyDescent="0.2">
      <c r="A14" s="93"/>
      <c r="B14" s="6" t="s">
        <v>14</v>
      </c>
      <c r="C14" s="7">
        <f t="shared" ref="C14:H14" si="9">(C12-C13)*2*0.95</f>
        <v>68100.75</v>
      </c>
      <c r="D14" s="7">
        <f t="shared" si="9"/>
        <v>70000.75</v>
      </c>
      <c r="E14" s="7">
        <f t="shared" si="9"/>
        <v>71900.75</v>
      </c>
      <c r="F14" s="7">
        <f t="shared" si="9"/>
        <v>73800.75</v>
      </c>
      <c r="G14" s="7">
        <f t="shared" si="9"/>
        <v>75700.75</v>
      </c>
      <c r="H14" s="7">
        <f t="shared" si="9"/>
        <v>79500.75</v>
      </c>
    </row>
    <row r="15" spans="1:8" x14ac:dyDescent="0.2">
      <c r="A15" s="94"/>
      <c r="B15" s="6" t="s">
        <v>15</v>
      </c>
      <c r="C15" s="7">
        <f t="shared" ref="C15:H15" si="10">(C12-C13)</f>
        <v>35842.5</v>
      </c>
      <c r="D15" s="7">
        <f t="shared" si="10"/>
        <v>36842.5</v>
      </c>
      <c r="E15" s="7">
        <f t="shared" si="10"/>
        <v>37842.5</v>
      </c>
      <c r="F15" s="7">
        <f t="shared" si="10"/>
        <v>38842.5</v>
      </c>
      <c r="G15" s="7">
        <f t="shared" si="10"/>
        <v>39842.5</v>
      </c>
      <c r="H15" s="7">
        <f t="shared" si="10"/>
        <v>41842.5</v>
      </c>
    </row>
    <row r="16" spans="1:8" x14ac:dyDescent="0.2">
      <c r="A16" s="92" t="s">
        <v>191</v>
      </c>
      <c r="B16" s="3" t="s">
        <v>12</v>
      </c>
      <c r="C16" s="4">
        <f>C12*1.05</f>
        <v>43934.625</v>
      </c>
      <c r="D16" s="4">
        <f t="shared" ref="D16:H16" si="11">C16</f>
        <v>43934.625</v>
      </c>
      <c r="E16" s="4">
        <f t="shared" si="11"/>
        <v>43934.625</v>
      </c>
      <c r="F16" s="4">
        <f t="shared" si="11"/>
        <v>43934.625</v>
      </c>
      <c r="G16" s="4">
        <f t="shared" si="11"/>
        <v>43934.625</v>
      </c>
      <c r="H16" s="4">
        <f t="shared" si="11"/>
        <v>43934.625</v>
      </c>
    </row>
    <row r="17" spans="1:8" x14ac:dyDescent="0.2">
      <c r="A17" s="93"/>
      <c r="B17" s="3" t="s">
        <v>13</v>
      </c>
      <c r="C17" s="4">
        <f t="shared" ref="C17:H17" si="12">C9</f>
        <v>6000</v>
      </c>
      <c r="D17" s="4">
        <f t="shared" si="12"/>
        <v>5000</v>
      </c>
      <c r="E17" s="4">
        <f t="shared" si="12"/>
        <v>4000</v>
      </c>
      <c r="F17" s="4">
        <f t="shared" si="12"/>
        <v>3000</v>
      </c>
      <c r="G17" s="4">
        <f t="shared" si="12"/>
        <v>2000</v>
      </c>
      <c r="H17" s="4">
        <f t="shared" si="12"/>
        <v>0</v>
      </c>
    </row>
    <row r="18" spans="1:8" x14ac:dyDescent="0.2">
      <c r="A18" s="93"/>
      <c r="B18" s="6" t="s">
        <v>14</v>
      </c>
      <c r="C18" s="7">
        <f t="shared" ref="C18:H18" si="13">(C16-C17)*2*0.95</f>
        <v>72075.787499999991</v>
      </c>
      <c r="D18" s="7">
        <f t="shared" si="13"/>
        <v>73975.787499999991</v>
      </c>
      <c r="E18" s="7">
        <f t="shared" si="13"/>
        <v>75875.787499999991</v>
      </c>
      <c r="F18" s="7">
        <f t="shared" si="13"/>
        <v>77775.787499999991</v>
      </c>
      <c r="G18" s="7">
        <f t="shared" si="13"/>
        <v>79675.787499999991</v>
      </c>
      <c r="H18" s="7">
        <f t="shared" si="13"/>
        <v>83475.787499999991</v>
      </c>
    </row>
    <row r="19" spans="1:8" x14ac:dyDescent="0.2">
      <c r="A19" s="94"/>
      <c r="B19" s="6" t="s">
        <v>15</v>
      </c>
      <c r="C19" s="7">
        <f t="shared" ref="C19:H19" si="14">(C16-C17)</f>
        <v>37934.625</v>
      </c>
      <c r="D19" s="7">
        <f t="shared" si="14"/>
        <v>38934.625</v>
      </c>
      <c r="E19" s="7">
        <f t="shared" si="14"/>
        <v>39934.625</v>
      </c>
      <c r="F19" s="7">
        <f t="shared" si="14"/>
        <v>40934.625</v>
      </c>
      <c r="G19" s="7">
        <f t="shared" si="14"/>
        <v>41934.625</v>
      </c>
      <c r="H19" s="7">
        <f t="shared" si="14"/>
        <v>43934.625</v>
      </c>
    </row>
    <row r="20" spans="1:8" x14ac:dyDescent="0.2">
      <c r="A20" s="76" t="s">
        <v>19</v>
      </c>
      <c r="B20" s="75"/>
      <c r="C20" s="9">
        <f t="shared" ref="C20:H20" si="15">SUM(C6,C10,C14,C18)</f>
        <v>268521.53749999998</v>
      </c>
      <c r="D20" s="9">
        <f t="shared" si="15"/>
        <v>276121.53749999998</v>
      </c>
      <c r="E20" s="9">
        <f t="shared" si="15"/>
        <v>283721.53749999998</v>
      </c>
      <c r="F20" s="9">
        <f t="shared" si="15"/>
        <v>291321.53749999998</v>
      </c>
      <c r="G20" s="9">
        <f t="shared" si="15"/>
        <v>298921.53749999998</v>
      </c>
      <c r="H20" s="9">
        <f t="shared" si="15"/>
        <v>314121.53749999998</v>
      </c>
    </row>
    <row r="21" spans="1:8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x14ac:dyDescent="0.2">
      <c r="A26" s="73" t="s">
        <v>292</v>
      </c>
      <c r="B26" s="74"/>
      <c r="C26" s="74"/>
      <c r="D26" s="74"/>
      <c r="E26" s="74"/>
      <c r="F26" s="74"/>
      <c r="G26" s="74"/>
      <c r="H26" s="75"/>
    </row>
    <row r="27" spans="1:8" x14ac:dyDescent="0.2">
      <c r="A27" s="73" t="s">
        <v>27</v>
      </c>
      <c r="B27" s="74"/>
      <c r="C27" s="74"/>
      <c r="D27" s="74"/>
      <c r="E27" s="74"/>
      <c r="F27" s="74"/>
      <c r="G27" s="74"/>
      <c r="H27" s="75"/>
    </row>
    <row r="28" spans="1:8" x14ac:dyDescent="0.2">
      <c r="A28" s="73" t="s">
        <v>28</v>
      </c>
      <c r="B28" s="74"/>
      <c r="C28" s="74"/>
      <c r="D28" s="74"/>
      <c r="E28" s="74"/>
      <c r="F28" s="74"/>
      <c r="G28" s="74"/>
      <c r="H28" s="75"/>
    </row>
    <row r="29" spans="1:8" x14ac:dyDescent="0.2">
      <c r="A29" s="73" t="s">
        <v>29</v>
      </c>
      <c r="B29" s="74"/>
      <c r="C29" s="74"/>
      <c r="D29" s="74"/>
      <c r="E29" s="74"/>
      <c r="F29" s="74"/>
      <c r="G29" s="74"/>
      <c r="H29" s="75"/>
    </row>
    <row r="30" spans="1:8" x14ac:dyDescent="0.2">
      <c r="A30" s="73" t="s">
        <v>30</v>
      </c>
      <c r="B30" s="74"/>
      <c r="C30" s="74"/>
      <c r="D30" s="74"/>
      <c r="E30" s="74"/>
      <c r="F30" s="74"/>
      <c r="G30" s="74"/>
      <c r="H30" s="75"/>
    </row>
  </sheetData>
  <mergeCells count="20">
    <mergeCell ref="A16:A19"/>
    <mergeCell ref="A1:H1"/>
    <mergeCell ref="A2:H2"/>
    <mergeCell ref="A4:A7"/>
    <mergeCell ref="A8:A11"/>
    <mergeCell ref="A12:A15"/>
    <mergeCell ref="A20:B20"/>
    <mergeCell ref="A21:B23"/>
    <mergeCell ref="C21:D21"/>
    <mergeCell ref="F21:H25"/>
    <mergeCell ref="C22:D22"/>
    <mergeCell ref="C23:D23"/>
    <mergeCell ref="A24:B25"/>
    <mergeCell ref="C24:D24"/>
    <mergeCell ref="C25:D25"/>
    <mergeCell ref="A27:H27"/>
    <mergeCell ref="A28:H28"/>
    <mergeCell ref="A29:H29"/>
    <mergeCell ref="A30:H30"/>
    <mergeCell ref="A26:H26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1000"/>
  <sheetViews>
    <sheetView workbookViewId="0"/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90" t="s">
        <v>293</v>
      </c>
      <c r="B1" s="74"/>
      <c r="C1" s="74"/>
      <c r="D1" s="74"/>
      <c r="E1" s="74"/>
      <c r="F1" s="74"/>
      <c r="G1" s="74"/>
      <c r="H1" s="75"/>
    </row>
    <row r="2" spans="1:8" ht="51.75" customHeight="1" x14ac:dyDescent="0.2">
      <c r="A2" s="91" t="s">
        <v>294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39700</v>
      </c>
      <c r="D4" s="16">
        <f t="shared" ref="D4:H4" si="0">C4</f>
        <v>39700</v>
      </c>
      <c r="E4" s="16">
        <f t="shared" si="0"/>
        <v>39700</v>
      </c>
      <c r="F4" s="16">
        <f t="shared" si="0"/>
        <v>39700</v>
      </c>
      <c r="G4" s="16">
        <f t="shared" si="0"/>
        <v>39700</v>
      </c>
      <c r="H4" s="16">
        <f t="shared" si="0"/>
        <v>39700</v>
      </c>
    </row>
    <row r="5" spans="1:8" ht="15.75" customHeight="1" x14ac:dyDescent="0.2">
      <c r="A5" s="93"/>
      <c r="B5" s="3" t="s">
        <v>13</v>
      </c>
      <c r="C5" s="4">
        <v>6000</v>
      </c>
      <c r="D5" s="4">
        <v>5000</v>
      </c>
      <c r="E5" s="4">
        <v>4000</v>
      </c>
      <c r="F5" s="4">
        <v>3000</v>
      </c>
      <c r="G5" s="4">
        <v>2000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64030</v>
      </c>
      <c r="D6" s="7">
        <f t="shared" si="1"/>
        <v>65930</v>
      </c>
      <c r="E6" s="7">
        <f t="shared" si="1"/>
        <v>67830</v>
      </c>
      <c r="F6" s="7">
        <f t="shared" si="1"/>
        <v>69730</v>
      </c>
      <c r="G6" s="7">
        <f t="shared" si="1"/>
        <v>71630</v>
      </c>
      <c r="H6" s="7">
        <f t="shared" si="1"/>
        <v>75430</v>
      </c>
    </row>
    <row r="7" spans="1:8" ht="15.75" customHeight="1" x14ac:dyDescent="0.2">
      <c r="A7" s="94"/>
      <c r="B7" s="6" t="s">
        <v>15</v>
      </c>
      <c r="C7" s="7">
        <f t="shared" ref="C7:H7" si="2">(C4-C5)</f>
        <v>33700</v>
      </c>
      <c r="D7" s="7">
        <f t="shared" si="2"/>
        <v>34700</v>
      </c>
      <c r="E7" s="7">
        <f t="shared" si="2"/>
        <v>35700</v>
      </c>
      <c r="F7" s="7">
        <f t="shared" si="2"/>
        <v>36700</v>
      </c>
      <c r="G7" s="7">
        <f t="shared" si="2"/>
        <v>37700</v>
      </c>
      <c r="H7" s="7">
        <f t="shared" si="2"/>
        <v>39700</v>
      </c>
    </row>
    <row r="8" spans="1:8" ht="15.75" customHeight="1" x14ac:dyDescent="0.2">
      <c r="A8" s="92" t="s">
        <v>16</v>
      </c>
      <c r="B8" s="3" t="s">
        <v>12</v>
      </c>
      <c r="C8" s="4">
        <v>39850</v>
      </c>
      <c r="D8" s="4">
        <f t="shared" ref="D8:H8" si="3">C8</f>
        <v>39850</v>
      </c>
      <c r="E8" s="4">
        <f t="shared" si="3"/>
        <v>39850</v>
      </c>
      <c r="F8" s="4">
        <f t="shared" si="3"/>
        <v>39850</v>
      </c>
      <c r="G8" s="4">
        <f t="shared" si="3"/>
        <v>39850</v>
      </c>
      <c r="H8" s="4">
        <f t="shared" si="3"/>
        <v>39850</v>
      </c>
    </row>
    <row r="9" spans="1:8" ht="15.75" customHeight="1" x14ac:dyDescent="0.2">
      <c r="A9" s="93"/>
      <c r="B9" s="3" t="s">
        <v>13</v>
      </c>
      <c r="C9" s="4">
        <f t="shared" ref="C9:H9" si="4">C5</f>
        <v>6000</v>
      </c>
      <c r="D9" s="4">
        <f t="shared" si="4"/>
        <v>5000</v>
      </c>
      <c r="E9" s="4">
        <f t="shared" si="4"/>
        <v>4000</v>
      </c>
      <c r="F9" s="4">
        <f t="shared" si="4"/>
        <v>3000</v>
      </c>
      <c r="G9" s="4">
        <f t="shared" si="4"/>
        <v>2000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64315</v>
      </c>
      <c r="D10" s="7">
        <f t="shared" si="5"/>
        <v>66215</v>
      </c>
      <c r="E10" s="7">
        <f t="shared" si="5"/>
        <v>68115</v>
      </c>
      <c r="F10" s="7">
        <f t="shared" si="5"/>
        <v>70015</v>
      </c>
      <c r="G10" s="7">
        <f t="shared" si="5"/>
        <v>71915</v>
      </c>
      <c r="H10" s="7">
        <f t="shared" si="5"/>
        <v>75715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33850</v>
      </c>
      <c r="D11" s="7">
        <f t="shared" si="6"/>
        <v>34850</v>
      </c>
      <c r="E11" s="7">
        <f t="shared" si="6"/>
        <v>35850</v>
      </c>
      <c r="F11" s="7">
        <f t="shared" si="6"/>
        <v>36850</v>
      </c>
      <c r="G11" s="7">
        <f t="shared" si="6"/>
        <v>37850</v>
      </c>
      <c r="H11" s="7">
        <f t="shared" si="6"/>
        <v>39850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41842.5</v>
      </c>
      <c r="D12" s="4">
        <f t="shared" ref="D12:H12" si="7">C12</f>
        <v>41842.5</v>
      </c>
      <c r="E12" s="4">
        <f t="shared" si="7"/>
        <v>41842.5</v>
      </c>
      <c r="F12" s="4">
        <f t="shared" si="7"/>
        <v>41842.5</v>
      </c>
      <c r="G12" s="4">
        <f t="shared" si="7"/>
        <v>41842.5</v>
      </c>
      <c r="H12" s="4">
        <f t="shared" si="7"/>
        <v>41842.5</v>
      </c>
    </row>
    <row r="13" spans="1:8" ht="15.75" customHeight="1" x14ac:dyDescent="0.2">
      <c r="A13" s="93"/>
      <c r="B13" s="3" t="s">
        <v>13</v>
      </c>
      <c r="C13" s="4">
        <f t="shared" ref="C13:H13" si="8">C9</f>
        <v>6000</v>
      </c>
      <c r="D13" s="4">
        <f t="shared" si="8"/>
        <v>5000</v>
      </c>
      <c r="E13" s="4">
        <f t="shared" si="8"/>
        <v>4000</v>
      </c>
      <c r="F13" s="4">
        <f t="shared" si="8"/>
        <v>3000</v>
      </c>
      <c r="G13" s="4">
        <f t="shared" si="8"/>
        <v>2000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68100.75</v>
      </c>
      <c r="D14" s="7">
        <f t="shared" si="9"/>
        <v>70000.75</v>
      </c>
      <c r="E14" s="7">
        <f t="shared" si="9"/>
        <v>71900.75</v>
      </c>
      <c r="F14" s="7">
        <f t="shared" si="9"/>
        <v>73800.75</v>
      </c>
      <c r="G14" s="7">
        <f t="shared" si="9"/>
        <v>75700.75</v>
      </c>
      <c r="H14" s="7">
        <f t="shared" si="9"/>
        <v>79500.75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35842.5</v>
      </c>
      <c r="D15" s="7">
        <f t="shared" si="10"/>
        <v>36842.5</v>
      </c>
      <c r="E15" s="7">
        <f t="shared" si="10"/>
        <v>37842.5</v>
      </c>
      <c r="F15" s="7">
        <f t="shared" si="10"/>
        <v>38842.5</v>
      </c>
      <c r="G15" s="7">
        <f t="shared" si="10"/>
        <v>39842.5</v>
      </c>
      <c r="H15" s="7">
        <f t="shared" si="10"/>
        <v>41842.5</v>
      </c>
    </row>
    <row r="16" spans="1:8" ht="15.75" customHeight="1" x14ac:dyDescent="0.2">
      <c r="A16" s="76" t="s">
        <v>19</v>
      </c>
      <c r="B16" s="75"/>
      <c r="C16" s="9">
        <f t="shared" ref="C16:H16" si="11">SUM(C6,C10,C14)</f>
        <v>196445.75</v>
      </c>
      <c r="D16" s="9">
        <f t="shared" si="11"/>
        <v>202145.75</v>
      </c>
      <c r="E16" s="9">
        <f t="shared" si="11"/>
        <v>207845.75</v>
      </c>
      <c r="F16" s="9">
        <f t="shared" si="11"/>
        <v>213545.75</v>
      </c>
      <c r="G16" s="9">
        <f t="shared" si="11"/>
        <v>219245.75</v>
      </c>
      <c r="H16" s="9">
        <f t="shared" si="11"/>
        <v>230645.75</v>
      </c>
    </row>
    <row r="17" spans="1:8" ht="15.75" customHeight="1" x14ac:dyDescent="0.2">
      <c r="A17" s="77" t="s">
        <v>20</v>
      </c>
      <c r="B17" s="78"/>
      <c r="C17" s="83" t="s">
        <v>21</v>
      </c>
      <c r="D17" s="75"/>
      <c r="E17" s="44">
        <v>10000</v>
      </c>
      <c r="F17" s="84"/>
      <c r="G17" s="85"/>
      <c r="H17" s="78"/>
    </row>
    <row r="18" spans="1:8" ht="15.75" customHeight="1" x14ac:dyDescent="0.2">
      <c r="A18" s="79"/>
      <c r="B18" s="80"/>
      <c r="C18" s="83" t="s">
        <v>22</v>
      </c>
      <c r="D18" s="75"/>
      <c r="E18" s="44">
        <v>5000</v>
      </c>
      <c r="F18" s="79"/>
      <c r="G18" s="86"/>
      <c r="H18" s="80"/>
    </row>
    <row r="19" spans="1:8" ht="15.75" customHeight="1" x14ac:dyDescent="0.2">
      <c r="A19" s="81"/>
      <c r="B19" s="82"/>
      <c r="C19" s="88" t="s">
        <v>23</v>
      </c>
      <c r="D19" s="75"/>
      <c r="E19" s="10">
        <v>3000</v>
      </c>
      <c r="F19" s="81"/>
      <c r="G19" s="87"/>
      <c r="H19" s="82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84"/>
      <c r="G20" s="85"/>
      <c r="H20" s="78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81"/>
      <c r="G21" s="87"/>
      <c r="H21" s="82"/>
    </row>
    <row r="22" spans="1:8" ht="15.75" customHeight="1" x14ac:dyDescent="0.2">
      <c r="A22" s="73" t="s">
        <v>27</v>
      </c>
      <c r="B22" s="74"/>
      <c r="C22" s="74"/>
      <c r="D22" s="74"/>
      <c r="E22" s="74"/>
      <c r="F22" s="74"/>
      <c r="G22" s="74"/>
      <c r="H22" s="75"/>
    </row>
    <row r="23" spans="1:8" ht="15.75" customHeight="1" x14ac:dyDescent="0.2">
      <c r="A23" s="73" t="s">
        <v>28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73" t="s">
        <v>29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73" t="s">
        <v>30</v>
      </c>
      <c r="B25" s="74"/>
      <c r="C25" s="74"/>
      <c r="D25" s="74"/>
      <c r="E25" s="74"/>
      <c r="F25" s="74"/>
      <c r="G25" s="74"/>
      <c r="H25" s="75"/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C21:D21"/>
    <mergeCell ref="A22:H22"/>
    <mergeCell ref="A23:H23"/>
    <mergeCell ref="A24:H24"/>
    <mergeCell ref="A25:H25"/>
    <mergeCell ref="A20:B21"/>
    <mergeCell ref="C20:D20"/>
    <mergeCell ref="F20:H21"/>
    <mergeCell ref="A1:H1"/>
    <mergeCell ref="A2:H2"/>
    <mergeCell ref="A4:A7"/>
    <mergeCell ref="A8:A11"/>
    <mergeCell ref="A12:A15"/>
    <mergeCell ref="A16:B16"/>
    <mergeCell ref="A17:B19"/>
    <mergeCell ref="C17:D17"/>
    <mergeCell ref="F17:H19"/>
    <mergeCell ref="C18:D18"/>
    <mergeCell ref="C19:D19"/>
  </mergeCells>
  <pageMargins left="0.7" right="0.7" top="0.75" bottom="0.75" header="0" footer="0"/>
  <pageSetup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20.6640625" customWidth="1"/>
    <col min="4" max="4" width="20.33203125" customWidth="1"/>
    <col min="5" max="5" width="21.6640625" customWidth="1"/>
    <col min="6" max="6" width="22.33203125" customWidth="1"/>
    <col min="7" max="8" width="23.6640625" customWidth="1"/>
    <col min="9" max="13" width="8.6640625" customWidth="1"/>
    <col min="14" max="26" width="11.1640625" customWidth="1"/>
  </cols>
  <sheetData>
    <row r="1" spans="1:13" ht="15.75" customHeight="1" x14ac:dyDescent="0.2">
      <c r="A1" s="90" t="s">
        <v>295</v>
      </c>
      <c r="B1" s="74"/>
      <c r="C1" s="74"/>
      <c r="D1" s="74"/>
      <c r="E1" s="74"/>
      <c r="F1" s="74"/>
      <c r="G1" s="74"/>
      <c r="H1" s="75"/>
    </row>
    <row r="2" spans="1:13" ht="66.75" customHeight="1" x14ac:dyDescent="0.2">
      <c r="A2" s="143" t="s">
        <v>296</v>
      </c>
      <c r="B2" s="142"/>
      <c r="C2" s="142"/>
      <c r="D2" s="142"/>
      <c r="E2" s="142"/>
      <c r="F2" s="142"/>
      <c r="G2" s="142"/>
      <c r="H2" s="142"/>
    </row>
    <row r="3" spans="1:13" ht="15.75" customHeight="1" x14ac:dyDescent="0.2">
      <c r="A3" s="29" t="s">
        <v>2</v>
      </c>
      <c r="B3" s="29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13" ht="15.75" customHeight="1" x14ac:dyDescent="0.2">
      <c r="A4" s="139" t="s">
        <v>11</v>
      </c>
      <c r="B4" s="30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13" ht="15.75" customHeight="1" x14ac:dyDescent="0.2">
      <c r="A5" s="80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13" ht="15.75" customHeight="1" x14ac:dyDescent="0.2">
      <c r="A6" s="80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13" ht="15.75" customHeight="1" x14ac:dyDescent="0.2">
      <c r="A7" s="140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13" ht="15.75" customHeight="1" x14ac:dyDescent="0.2">
      <c r="A8" s="139" t="s">
        <v>16</v>
      </c>
      <c r="B8" s="30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32">
        <f t="shared" si="3"/>
        <v>75550</v>
      </c>
      <c r="H8" s="32">
        <f t="shared" si="3"/>
        <v>75550</v>
      </c>
      <c r="I8" s="18"/>
      <c r="J8" s="18"/>
      <c r="K8" s="18"/>
      <c r="L8" s="18"/>
      <c r="M8" s="18"/>
    </row>
    <row r="9" spans="1:13" ht="15.75" customHeight="1" x14ac:dyDescent="0.2">
      <c r="A9" s="80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32">
        <f t="shared" si="4"/>
        <v>7500</v>
      </c>
      <c r="H9" s="32">
        <f t="shared" si="4"/>
        <v>0</v>
      </c>
    </row>
    <row r="10" spans="1:13" ht="15.75" customHeight="1" x14ac:dyDescent="0.2">
      <c r="A10" s="80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13" ht="15.75" customHeight="1" x14ac:dyDescent="0.2">
      <c r="A11" s="82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13" ht="15.75" customHeight="1" x14ac:dyDescent="0.2">
      <c r="A12" s="139" t="s">
        <v>17</v>
      </c>
      <c r="B12" s="30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32">
        <f t="shared" si="7"/>
        <v>79327.5</v>
      </c>
      <c r="H12" s="32">
        <f t="shared" si="7"/>
        <v>79327.5</v>
      </c>
    </row>
    <row r="13" spans="1:13" ht="15.75" customHeight="1" x14ac:dyDescent="0.2">
      <c r="A13" s="80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32">
        <f t="shared" si="8"/>
        <v>7500</v>
      </c>
      <c r="H13" s="32">
        <f t="shared" si="8"/>
        <v>0</v>
      </c>
    </row>
    <row r="14" spans="1:13" ht="15.75" customHeight="1" x14ac:dyDescent="0.2">
      <c r="A14" s="80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13" ht="15.75" customHeight="1" x14ac:dyDescent="0.2">
      <c r="A15" s="82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13" ht="15.75" customHeight="1" x14ac:dyDescent="0.2">
      <c r="A16" s="139" t="s">
        <v>97</v>
      </c>
      <c r="B16" s="30" t="s">
        <v>12</v>
      </c>
      <c r="C16" s="4">
        <f>C12*1.05</f>
        <v>83293.875</v>
      </c>
      <c r="D16" s="4">
        <f t="shared" ref="D16:H16" si="11">C16</f>
        <v>83293.875</v>
      </c>
      <c r="E16" s="4">
        <f t="shared" si="11"/>
        <v>83293.875</v>
      </c>
      <c r="F16" s="4">
        <f t="shared" si="11"/>
        <v>83293.875</v>
      </c>
      <c r="G16" s="32">
        <f t="shared" si="11"/>
        <v>83293.875</v>
      </c>
      <c r="H16" s="32">
        <f t="shared" si="11"/>
        <v>83293.875</v>
      </c>
    </row>
    <row r="17" spans="1:8" ht="15.75" customHeight="1" x14ac:dyDescent="0.2">
      <c r="A17" s="80"/>
      <c r="B17" s="3" t="s">
        <v>13</v>
      </c>
      <c r="C17" s="4">
        <f t="shared" ref="C17:H17" si="12">C9</f>
        <v>31500</v>
      </c>
      <c r="D17" s="4">
        <f t="shared" si="12"/>
        <v>26000</v>
      </c>
      <c r="E17" s="4">
        <f t="shared" si="12"/>
        <v>16000</v>
      </c>
      <c r="F17" s="4">
        <f t="shared" si="12"/>
        <v>10500</v>
      </c>
      <c r="G17" s="32">
        <f t="shared" si="12"/>
        <v>7500</v>
      </c>
      <c r="H17" s="32">
        <f t="shared" si="12"/>
        <v>0</v>
      </c>
    </row>
    <row r="18" spans="1:8" ht="15.75" customHeight="1" x14ac:dyDescent="0.2">
      <c r="A18" s="80"/>
      <c r="B18" s="6" t="s">
        <v>14</v>
      </c>
      <c r="C18" s="7">
        <f t="shared" ref="C18:H18" si="13">(C16-C17)*2*0.95</f>
        <v>98408.362499999988</v>
      </c>
      <c r="D18" s="7">
        <f t="shared" si="13"/>
        <v>108858.36249999999</v>
      </c>
      <c r="E18" s="7">
        <f t="shared" si="13"/>
        <v>127858.36249999999</v>
      </c>
      <c r="F18" s="7">
        <f t="shared" si="13"/>
        <v>138308.36249999999</v>
      </c>
      <c r="G18" s="7">
        <f t="shared" si="13"/>
        <v>144008.36249999999</v>
      </c>
      <c r="H18" s="7">
        <f t="shared" si="13"/>
        <v>158258.36249999999</v>
      </c>
    </row>
    <row r="19" spans="1:8" ht="15.75" customHeight="1" x14ac:dyDescent="0.2">
      <c r="A19" s="82"/>
      <c r="B19" s="6" t="s">
        <v>15</v>
      </c>
      <c r="C19" s="7">
        <f t="shared" ref="C19:H19" si="14">(C16-C17)</f>
        <v>51793.875</v>
      </c>
      <c r="D19" s="7">
        <f t="shared" si="14"/>
        <v>57293.875</v>
      </c>
      <c r="E19" s="7">
        <f t="shared" si="14"/>
        <v>67293.875</v>
      </c>
      <c r="F19" s="7">
        <f t="shared" si="14"/>
        <v>72793.875</v>
      </c>
      <c r="G19" s="7">
        <f t="shared" si="14"/>
        <v>75793.875</v>
      </c>
      <c r="H19" s="7">
        <f t="shared" si="14"/>
        <v>83293.875</v>
      </c>
    </row>
    <row r="20" spans="1:8" ht="15.75" customHeight="1" x14ac:dyDescent="0.2">
      <c r="A20" s="124" t="s">
        <v>19</v>
      </c>
      <c r="B20" s="125"/>
      <c r="C20" s="33">
        <f t="shared" ref="C20:H20" si="15">SUM(C6,C10,C14,C18)</f>
        <v>353155.61249999999</v>
      </c>
      <c r="D20" s="33">
        <f t="shared" si="15"/>
        <v>394955.61249999999</v>
      </c>
      <c r="E20" s="33">
        <f t="shared" si="15"/>
        <v>470955.61249999999</v>
      </c>
      <c r="F20" s="33">
        <f t="shared" si="15"/>
        <v>512755.61249999999</v>
      </c>
      <c r="G20" s="33">
        <f t="shared" si="15"/>
        <v>535555.61250000005</v>
      </c>
      <c r="H20" s="33">
        <f t="shared" si="15"/>
        <v>592555.61250000005</v>
      </c>
    </row>
    <row r="21" spans="1:8" ht="15.75" customHeight="1" x14ac:dyDescent="0.2">
      <c r="A21" s="126" t="s">
        <v>20</v>
      </c>
      <c r="B21" s="127"/>
      <c r="C21" s="118" t="s">
        <v>21</v>
      </c>
      <c r="D21" s="82"/>
      <c r="E21" s="34">
        <v>10000</v>
      </c>
      <c r="F21" s="66"/>
      <c r="G21" s="67"/>
      <c r="H21" s="48"/>
    </row>
    <row r="22" spans="1:8" ht="15.75" customHeight="1" x14ac:dyDescent="0.2">
      <c r="A22" s="128"/>
      <c r="B22" s="129"/>
      <c r="C22" s="122" t="s">
        <v>22</v>
      </c>
      <c r="D22" s="75"/>
      <c r="E22" s="35">
        <v>5000</v>
      </c>
      <c r="F22" s="68"/>
      <c r="G22" s="21"/>
      <c r="H22" s="69"/>
    </row>
    <row r="23" spans="1:8" ht="15.75" customHeight="1" x14ac:dyDescent="0.2">
      <c r="A23" s="128"/>
      <c r="B23" s="129"/>
      <c r="C23" s="123" t="s">
        <v>23</v>
      </c>
      <c r="D23" s="78"/>
      <c r="E23" s="36">
        <v>3000</v>
      </c>
      <c r="F23" s="68"/>
      <c r="G23" s="21"/>
      <c r="H23" s="69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21"/>
      <c r="G24" s="21"/>
      <c r="H24" s="21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70"/>
      <c r="G25" s="70"/>
      <c r="H25" s="70"/>
    </row>
    <row r="26" spans="1:8" ht="15.75" customHeight="1" x14ac:dyDescent="0.2">
      <c r="A26" s="154" t="s">
        <v>297</v>
      </c>
      <c r="B26" s="133"/>
      <c r="C26" s="133"/>
      <c r="D26" s="133"/>
      <c r="E26" s="133"/>
      <c r="F26" s="133"/>
      <c r="G26" s="133"/>
      <c r="H26" s="134"/>
    </row>
    <row r="27" spans="1:8" ht="15.75" customHeight="1" x14ac:dyDescent="0.2">
      <c r="A27" s="155" t="s">
        <v>98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155" t="s">
        <v>298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135" t="s">
        <v>27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>
      <c r="A30" s="136" t="s">
        <v>28</v>
      </c>
      <c r="B30" s="125"/>
      <c r="C30" s="125"/>
      <c r="D30" s="125"/>
      <c r="E30" s="125"/>
      <c r="F30" s="125"/>
      <c r="G30" s="125"/>
      <c r="H30" s="125"/>
    </row>
    <row r="31" spans="1:8" ht="15.75" customHeight="1" x14ac:dyDescent="0.2">
      <c r="A31" s="95" t="s">
        <v>29</v>
      </c>
      <c r="B31" s="74"/>
      <c r="C31" s="74"/>
      <c r="D31" s="74"/>
      <c r="E31" s="74"/>
      <c r="F31" s="74"/>
      <c r="G31" s="74"/>
      <c r="H31" s="74"/>
    </row>
    <row r="32" spans="1:8" ht="15.75" customHeight="1" x14ac:dyDescent="0.2">
      <c r="A32" s="95" t="s">
        <v>30</v>
      </c>
      <c r="B32" s="74"/>
      <c r="C32" s="74"/>
      <c r="D32" s="74"/>
      <c r="E32" s="74"/>
      <c r="F32" s="74"/>
      <c r="G32" s="74"/>
      <c r="H32" s="75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A1:H1"/>
    <mergeCell ref="A2:H2"/>
    <mergeCell ref="A4:A7"/>
    <mergeCell ref="A8:A11"/>
    <mergeCell ref="A12:A15"/>
    <mergeCell ref="A16:A19"/>
    <mergeCell ref="A20:B20"/>
    <mergeCell ref="A26:H26"/>
    <mergeCell ref="A27:H27"/>
    <mergeCell ref="A28:H28"/>
    <mergeCell ref="A29:H29"/>
    <mergeCell ref="A30:H30"/>
    <mergeCell ref="A31:H31"/>
    <mergeCell ref="A32:H32"/>
    <mergeCell ref="A21:B23"/>
    <mergeCell ref="C21:D21"/>
    <mergeCell ref="C22:D22"/>
    <mergeCell ref="C23:D23"/>
    <mergeCell ref="A24:B25"/>
    <mergeCell ref="C24:D24"/>
    <mergeCell ref="C25:D25"/>
  </mergeCells>
  <pageMargins left="0.7" right="0.7" top="0.75" bottom="0.75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1000"/>
  <sheetViews>
    <sheetView workbookViewId="0">
      <selection activeCell="K4" sqref="K4"/>
    </sheetView>
  </sheetViews>
  <sheetFormatPr baseColWidth="10" defaultColWidth="11.1640625" defaultRowHeight="15" customHeight="1" x14ac:dyDescent="0.2"/>
  <cols>
    <col min="1" max="7" width="8.6640625" customWidth="1"/>
    <col min="8" max="8" width="16" customWidth="1"/>
    <col min="9" max="26" width="11.1640625" customWidth="1"/>
  </cols>
  <sheetData>
    <row r="1" spans="1:8" ht="15.75" customHeight="1" x14ac:dyDescent="0.2">
      <c r="A1" s="156" t="s">
        <v>299</v>
      </c>
      <c r="B1" s="121"/>
      <c r="C1" s="121"/>
      <c r="D1" s="121"/>
      <c r="E1" s="121"/>
      <c r="F1" s="121"/>
      <c r="G1" s="121"/>
      <c r="H1" s="121"/>
    </row>
    <row r="2" spans="1:8" ht="66" customHeight="1" x14ac:dyDescent="0.2">
      <c r="A2" s="157" t="s">
        <v>300</v>
      </c>
      <c r="B2" s="120"/>
      <c r="C2" s="120"/>
      <c r="D2" s="120"/>
      <c r="E2" s="120"/>
      <c r="F2" s="120"/>
      <c r="G2" s="120"/>
      <c r="H2" s="120"/>
    </row>
    <row r="3" spans="1:8" ht="15.75" customHeight="1" x14ac:dyDescent="0.2">
      <c r="A3" s="29" t="s">
        <v>2</v>
      </c>
      <c r="B3" s="29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139" t="s">
        <v>11</v>
      </c>
      <c r="B4" s="30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8" ht="15.75" customHeight="1" x14ac:dyDescent="0.2">
      <c r="A5" s="80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8" ht="15.75" customHeight="1" x14ac:dyDescent="0.2">
      <c r="A6" s="80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8" ht="15.75" customHeight="1" x14ac:dyDescent="0.2">
      <c r="A7" s="140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8" ht="15.75" customHeight="1" x14ac:dyDescent="0.2">
      <c r="A8" s="139" t="s">
        <v>16</v>
      </c>
      <c r="B8" s="30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32">
        <f t="shared" si="3"/>
        <v>75550</v>
      </c>
      <c r="H8" s="32">
        <f t="shared" si="3"/>
        <v>75550</v>
      </c>
    </row>
    <row r="9" spans="1:8" ht="15.75" customHeight="1" x14ac:dyDescent="0.2">
      <c r="A9" s="80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32">
        <f t="shared" si="4"/>
        <v>7500</v>
      </c>
      <c r="H9" s="32">
        <f t="shared" si="4"/>
        <v>0</v>
      </c>
    </row>
    <row r="10" spans="1:8" ht="15.75" customHeight="1" x14ac:dyDescent="0.2">
      <c r="A10" s="80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8" ht="15.75" customHeight="1" x14ac:dyDescent="0.2">
      <c r="A11" s="82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8" ht="15.75" customHeight="1" x14ac:dyDescent="0.2">
      <c r="A12" s="139" t="s">
        <v>17</v>
      </c>
      <c r="B12" s="30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32">
        <f t="shared" si="7"/>
        <v>79327.5</v>
      </c>
      <c r="H12" s="32">
        <f t="shared" si="7"/>
        <v>79327.5</v>
      </c>
    </row>
    <row r="13" spans="1:8" ht="15.75" customHeight="1" x14ac:dyDescent="0.2">
      <c r="A13" s="80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32">
        <f t="shared" si="8"/>
        <v>7500</v>
      </c>
      <c r="H13" s="32">
        <f t="shared" si="8"/>
        <v>0</v>
      </c>
    </row>
    <row r="14" spans="1:8" ht="15.75" customHeight="1" x14ac:dyDescent="0.2">
      <c r="A14" s="80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8" ht="15.75" customHeight="1" x14ac:dyDescent="0.2">
      <c r="A15" s="82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8" ht="15.75" customHeight="1" x14ac:dyDescent="0.2">
      <c r="A16" s="124" t="s">
        <v>19</v>
      </c>
      <c r="B16" s="125"/>
      <c r="C16" s="33">
        <f t="shared" ref="C16:H16" si="11">SUM(C6,C10,C14)</f>
        <v>254747.25</v>
      </c>
      <c r="D16" s="33">
        <f t="shared" si="11"/>
        <v>286097.25</v>
      </c>
      <c r="E16" s="33">
        <f t="shared" si="11"/>
        <v>343097.25</v>
      </c>
      <c r="F16" s="33">
        <f t="shared" si="11"/>
        <v>374447.25</v>
      </c>
      <c r="G16" s="33">
        <f t="shared" si="11"/>
        <v>391547.25</v>
      </c>
      <c r="H16" s="33">
        <f t="shared" si="11"/>
        <v>434297.25</v>
      </c>
    </row>
    <row r="17" spans="1:8" ht="15.75" customHeight="1" x14ac:dyDescent="0.2">
      <c r="A17" s="126" t="s">
        <v>20</v>
      </c>
      <c r="B17" s="127"/>
      <c r="C17" s="118" t="s">
        <v>21</v>
      </c>
      <c r="D17" s="82"/>
      <c r="E17" s="34">
        <v>10000</v>
      </c>
      <c r="F17" s="119"/>
      <c r="G17" s="120"/>
      <c r="H17" s="120"/>
    </row>
    <row r="18" spans="1:8" ht="15.75" customHeight="1" x14ac:dyDescent="0.2">
      <c r="A18" s="128"/>
      <c r="B18" s="129"/>
      <c r="C18" s="122" t="s">
        <v>22</v>
      </c>
      <c r="D18" s="75"/>
      <c r="E18" s="35">
        <v>5000</v>
      </c>
      <c r="F18" s="86"/>
      <c r="G18" s="86"/>
      <c r="H18" s="86"/>
    </row>
    <row r="19" spans="1:8" ht="15.75" customHeight="1" x14ac:dyDescent="0.2">
      <c r="A19" s="128"/>
      <c r="B19" s="129"/>
      <c r="C19" s="123" t="s">
        <v>23</v>
      </c>
      <c r="D19" s="78"/>
      <c r="E19" s="36">
        <v>3000</v>
      </c>
      <c r="F19" s="86"/>
      <c r="G19" s="86"/>
      <c r="H19" s="86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86"/>
      <c r="G20" s="86"/>
      <c r="H20" s="86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121"/>
      <c r="G21" s="121"/>
      <c r="H21" s="121"/>
    </row>
    <row r="22" spans="1:8" ht="15.75" customHeight="1" x14ac:dyDescent="0.2">
      <c r="A22" s="154" t="s">
        <v>301</v>
      </c>
      <c r="B22" s="133"/>
      <c r="C22" s="133"/>
      <c r="D22" s="133"/>
      <c r="E22" s="133"/>
      <c r="F22" s="133"/>
      <c r="G22" s="133"/>
      <c r="H22" s="134"/>
    </row>
    <row r="23" spans="1:8" ht="15.75" customHeight="1" x14ac:dyDescent="0.2">
      <c r="A23" s="135" t="s">
        <v>27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136" t="s">
        <v>28</v>
      </c>
      <c r="B24" s="125"/>
      <c r="C24" s="125"/>
      <c r="D24" s="125"/>
      <c r="E24" s="125"/>
      <c r="F24" s="125"/>
      <c r="G24" s="125"/>
      <c r="H24" s="125"/>
    </row>
    <row r="25" spans="1:8" ht="15.75" customHeight="1" x14ac:dyDescent="0.2">
      <c r="A25" s="95" t="s">
        <v>29</v>
      </c>
      <c r="B25" s="74"/>
      <c r="C25" s="74"/>
      <c r="D25" s="74"/>
      <c r="E25" s="74"/>
      <c r="F25" s="74"/>
      <c r="G25" s="74"/>
      <c r="H25" s="74"/>
    </row>
    <row r="26" spans="1:8" ht="15.75" customHeight="1" x14ac:dyDescent="0.2">
      <c r="A26" s="95" t="s">
        <v>30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1F3B-2571-EA47-BF73-3C5B2B3D2DFA}">
  <dimension ref="A1:H999"/>
  <sheetViews>
    <sheetView topLeftCell="A3" workbookViewId="0">
      <selection activeCell="A3" sqref="A3"/>
    </sheetView>
  </sheetViews>
  <sheetFormatPr baseColWidth="10" defaultColWidth="11.1640625" defaultRowHeight="15" customHeight="1" x14ac:dyDescent="0.2"/>
  <cols>
    <col min="1" max="7" width="8.6640625" customWidth="1"/>
    <col min="8" max="8" width="16" customWidth="1"/>
    <col min="9" max="26" width="11.1640625" customWidth="1"/>
  </cols>
  <sheetData>
    <row r="1" spans="1:8" ht="15.75" customHeight="1" thickBot="1" x14ac:dyDescent="0.25">
      <c r="A1" s="156" t="s">
        <v>302</v>
      </c>
      <c r="B1" s="121"/>
      <c r="C1" s="121"/>
      <c r="D1" s="121"/>
      <c r="E1" s="121"/>
      <c r="F1" s="121"/>
      <c r="G1" s="121"/>
      <c r="H1" s="121"/>
    </row>
    <row r="2" spans="1:8" ht="66" customHeight="1" thickBot="1" x14ac:dyDescent="0.25">
      <c r="A2" s="157" t="s">
        <v>303</v>
      </c>
      <c r="B2" s="120"/>
      <c r="C2" s="120"/>
      <c r="D2" s="120"/>
      <c r="E2" s="120"/>
      <c r="F2" s="120"/>
      <c r="G2" s="120"/>
      <c r="H2" s="120"/>
    </row>
    <row r="3" spans="1:8" ht="158" customHeight="1" thickBot="1" x14ac:dyDescent="0.25">
      <c r="A3" s="29" t="s">
        <v>2</v>
      </c>
      <c r="B3" s="29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139" t="s">
        <v>11</v>
      </c>
      <c r="B4" s="30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8" ht="15.75" customHeight="1" x14ac:dyDescent="0.2">
      <c r="A5" s="80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8" ht="15.75" customHeight="1" x14ac:dyDescent="0.2">
      <c r="A6" s="80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8" ht="15.75" customHeight="1" thickBot="1" x14ac:dyDescent="0.25">
      <c r="A7" s="140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8" ht="15.75" customHeight="1" x14ac:dyDescent="0.2">
      <c r="A8" s="139" t="s">
        <v>16</v>
      </c>
      <c r="B8" s="30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32">
        <f t="shared" si="3"/>
        <v>75550</v>
      </c>
      <c r="H8" s="32">
        <f t="shared" si="3"/>
        <v>75550</v>
      </c>
    </row>
    <row r="9" spans="1:8" ht="15.75" customHeight="1" x14ac:dyDescent="0.2">
      <c r="A9" s="80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32">
        <f t="shared" si="4"/>
        <v>7500</v>
      </c>
      <c r="H9" s="32">
        <f t="shared" si="4"/>
        <v>0</v>
      </c>
    </row>
    <row r="10" spans="1:8" ht="15.75" customHeight="1" x14ac:dyDescent="0.2">
      <c r="A10" s="80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8" ht="15.75" customHeight="1" thickBot="1" x14ac:dyDescent="0.25">
      <c r="A11" s="82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8" ht="15.75" customHeight="1" x14ac:dyDescent="0.2">
      <c r="A12" s="139" t="s">
        <v>17</v>
      </c>
      <c r="B12" s="30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32">
        <f t="shared" si="7"/>
        <v>79327.5</v>
      </c>
      <c r="H12" s="32">
        <f t="shared" si="7"/>
        <v>79327.5</v>
      </c>
    </row>
    <row r="13" spans="1:8" ht="15.75" customHeight="1" x14ac:dyDescent="0.2">
      <c r="A13" s="80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32">
        <f t="shared" si="8"/>
        <v>7500</v>
      </c>
      <c r="H13" s="32">
        <f t="shared" si="8"/>
        <v>0</v>
      </c>
    </row>
    <row r="14" spans="1:8" ht="15.75" customHeight="1" x14ac:dyDescent="0.2">
      <c r="A14" s="80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8" ht="15.75" customHeight="1" thickBot="1" x14ac:dyDescent="0.25">
      <c r="A15" s="82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8" ht="15.75" customHeight="1" thickBot="1" x14ac:dyDescent="0.25">
      <c r="A16" s="124" t="s">
        <v>19</v>
      </c>
      <c r="B16" s="125"/>
      <c r="C16" s="33">
        <f t="shared" ref="C16:H16" si="11">SUM(C6,C10,C14)</f>
        <v>254747.25</v>
      </c>
      <c r="D16" s="33">
        <f t="shared" si="11"/>
        <v>286097.25</v>
      </c>
      <c r="E16" s="33">
        <f t="shared" si="11"/>
        <v>343097.25</v>
      </c>
      <c r="F16" s="33">
        <f t="shared" si="11"/>
        <v>374447.25</v>
      </c>
      <c r="G16" s="33">
        <f t="shared" si="11"/>
        <v>391547.25</v>
      </c>
      <c r="H16" s="33">
        <f t="shared" si="11"/>
        <v>434297.25</v>
      </c>
    </row>
    <row r="17" spans="1:8" ht="15.75" customHeight="1" x14ac:dyDescent="0.2">
      <c r="A17" s="126" t="s">
        <v>20</v>
      </c>
      <c r="B17" s="127"/>
      <c r="C17" s="118" t="s">
        <v>21</v>
      </c>
      <c r="D17" s="82"/>
      <c r="E17" s="34">
        <v>10000</v>
      </c>
      <c r="F17" s="119"/>
      <c r="G17" s="120"/>
      <c r="H17" s="120"/>
    </row>
    <row r="18" spans="1:8" ht="15.75" customHeight="1" x14ac:dyDescent="0.2">
      <c r="A18" s="128"/>
      <c r="B18" s="129"/>
      <c r="C18" s="122" t="s">
        <v>22</v>
      </c>
      <c r="D18" s="75"/>
      <c r="E18" s="35">
        <v>5000</v>
      </c>
      <c r="F18" s="86"/>
      <c r="G18" s="86"/>
      <c r="H18" s="86"/>
    </row>
    <row r="19" spans="1:8" ht="15.75" customHeight="1" x14ac:dyDescent="0.2">
      <c r="A19" s="128"/>
      <c r="B19" s="129"/>
      <c r="C19" s="123" t="s">
        <v>23</v>
      </c>
      <c r="D19" s="78"/>
      <c r="E19" s="36">
        <v>3000</v>
      </c>
      <c r="F19" s="86"/>
      <c r="G19" s="86"/>
      <c r="H19" s="86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86"/>
      <c r="G20" s="86"/>
      <c r="H20" s="86"/>
    </row>
    <row r="21" spans="1:8" ht="15.75" customHeight="1" thickBot="1" x14ac:dyDescent="0.25">
      <c r="A21" s="81"/>
      <c r="B21" s="82"/>
      <c r="C21" s="76" t="s">
        <v>26</v>
      </c>
      <c r="D21" s="75"/>
      <c r="E21" s="3">
        <v>9750</v>
      </c>
      <c r="F21" s="121"/>
      <c r="G21" s="121"/>
      <c r="H21" s="121"/>
    </row>
    <row r="22" spans="1:8" ht="46" customHeight="1" x14ac:dyDescent="0.2">
      <c r="A22" s="154" t="s">
        <v>304</v>
      </c>
      <c r="B22" s="133"/>
      <c r="C22" s="133"/>
      <c r="D22" s="133"/>
      <c r="E22" s="133"/>
      <c r="F22" s="133"/>
      <c r="G22" s="133"/>
      <c r="H22" s="134"/>
    </row>
    <row r="23" spans="1:8" ht="15.75" customHeight="1" x14ac:dyDescent="0.2">
      <c r="A23" s="135" t="s">
        <v>27</v>
      </c>
      <c r="B23" s="74"/>
      <c r="C23" s="74"/>
      <c r="D23" s="74"/>
      <c r="E23" s="74"/>
      <c r="F23" s="74"/>
      <c r="G23" s="74"/>
      <c r="H23" s="75"/>
    </row>
    <row r="24" spans="1:8" ht="15.75" customHeight="1" thickBot="1" x14ac:dyDescent="0.25">
      <c r="A24" s="136" t="s">
        <v>28</v>
      </c>
      <c r="B24" s="125"/>
      <c r="C24" s="125"/>
      <c r="D24" s="125"/>
      <c r="E24" s="125"/>
      <c r="F24" s="125"/>
      <c r="G24" s="125"/>
      <c r="H24" s="125"/>
    </row>
    <row r="25" spans="1:8" ht="15.75" customHeight="1" x14ac:dyDescent="0.2">
      <c r="A25" s="95" t="s">
        <v>29</v>
      </c>
      <c r="B25" s="74"/>
      <c r="C25" s="74"/>
      <c r="D25" s="74"/>
      <c r="E25" s="74"/>
      <c r="F25" s="74"/>
      <c r="G25" s="74"/>
      <c r="H25" s="74"/>
    </row>
    <row r="26" spans="1:8" ht="15.75" customHeight="1" x14ac:dyDescent="0.2">
      <c r="A26" s="95" t="s">
        <v>30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9">
    <mergeCell ref="A22:H22"/>
    <mergeCell ref="A23:H23"/>
    <mergeCell ref="A24:H24"/>
    <mergeCell ref="A25:H25"/>
    <mergeCell ref="A26:H26"/>
    <mergeCell ref="A17:B19"/>
    <mergeCell ref="C17:D17"/>
    <mergeCell ref="F17:H21"/>
    <mergeCell ref="C18:D18"/>
    <mergeCell ref="C19:D19"/>
    <mergeCell ref="A20:B21"/>
    <mergeCell ref="C20:D20"/>
    <mergeCell ref="C21:D21"/>
    <mergeCell ref="A16:B16"/>
    <mergeCell ref="A1:H1"/>
    <mergeCell ref="A2:H2"/>
    <mergeCell ref="A4:A7"/>
    <mergeCell ref="A8:A11"/>
    <mergeCell ref="A12:A15"/>
  </mergeCells>
  <pageMargins left="0.7" right="0.7" top="0.75" bottom="0.75" header="0" footer="0"/>
  <pageSetup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1000"/>
  <sheetViews>
    <sheetView topLeftCell="A3" workbookViewId="0">
      <selection sqref="A1:H1"/>
    </sheetView>
  </sheetViews>
  <sheetFormatPr baseColWidth="10" defaultColWidth="11.1640625" defaultRowHeight="15" customHeight="1" x14ac:dyDescent="0.2"/>
  <cols>
    <col min="1" max="7" width="8.6640625" customWidth="1"/>
    <col min="8" max="8" width="16" customWidth="1"/>
    <col min="9" max="26" width="11.1640625" customWidth="1"/>
  </cols>
  <sheetData>
    <row r="1" spans="1:8" ht="15.75" customHeight="1" x14ac:dyDescent="0.2">
      <c r="A1" s="156" t="s">
        <v>305</v>
      </c>
      <c r="B1" s="121"/>
      <c r="C1" s="121"/>
      <c r="D1" s="121"/>
      <c r="E1" s="121"/>
      <c r="F1" s="121"/>
      <c r="G1" s="121"/>
      <c r="H1" s="121"/>
    </row>
    <row r="2" spans="1:8" ht="66" customHeight="1" x14ac:dyDescent="0.2">
      <c r="A2" s="157" t="s">
        <v>306</v>
      </c>
      <c r="B2" s="120"/>
      <c r="C2" s="120"/>
      <c r="D2" s="120"/>
      <c r="E2" s="120"/>
      <c r="F2" s="120"/>
      <c r="G2" s="120"/>
      <c r="H2" s="120"/>
    </row>
    <row r="3" spans="1:8" ht="15.75" customHeight="1" x14ac:dyDescent="0.2">
      <c r="A3" s="29" t="s">
        <v>2</v>
      </c>
      <c r="B3" s="29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139" t="s">
        <v>11</v>
      </c>
      <c r="B4" s="30" t="s">
        <v>12</v>
      </c>
      <c r="C4" s="16">
        <v>73700</v>
      </c>
      <c r="D4" s="16">
        <f t="shared" ref="D4:H4" si="0">C4</f>
        <v>73700</v>
      </c>
      <c r="E4" s="16">
        <f t="shared" si="0"/>
        <v>73700</v>
      </c>
      <c r="F4" s="16">
        <f t="shared" si="0"/>
        <v>73700</v>
      </c>
      <c r="G4" s="16">
        <f t="shared" si="0"/>
        <v>73700</v>
      </c>
      <c r="H4" s="16">
        <f t="shared" si="0"/>
        <v>73700</v>
      </c>
    </row>
    <row r="5" spans="1:8" ht="15.75" customHeight="1" x14ac:dyDescent="0.2">
      <c r="A5" s="80"/>
      <c r="B5" s="3" t="s">
        <v>13</v>
      </c>
      <c r="C5" s="17">
        <v>31500</v>
      </c>
      <c r="D5" s="17">
        <v>26000</v>
      </c>
      <c r="E5" s="17">
        <v>16000</v>
      </c>
      <c r="F5" s="17">
        <v>10500</v>
      </c>
      <c r="G5" s="17">
        <v>7500</v>
      </c>
      <c r="H5" s="17">
        <v>0</v>
      </c>
    </row>
    <row r="6" spans="1:8" ht="15.75" customHeight="1" x14ac:dyDescent="0.2">
      <c r="A6" s="80"/>
      <c r="B6" s="6" t="s">
        <v>14</v>
      </c>
      <c r="C6" s="7">
        <f t="shared" ref="C6:H6" si="1">(C4-C5)*2*0.95</f>
        <v>80180</v>
      </c>
      <c r="D6" s="7">
        <f t="shared" si="1"/>
        <v>90630</v>
      </c>
      <c r="E6" s="7">
        <f t="shared" si="1"/>
        <v>109630</v>
      </c>
      <c r="F6" s="7">
        <f t="shared" si="1"/>
        <v>120080</v>
      </c>
      <c r="G6" s="7">
        <f t="shared" si="1"/>
        <v>125780</v>
      </c>
      <c r="H6" s="7">
        <f t="shared" si="1"/>
        <v>140030</v>
      </c>
    </row>
    <row r="7" spans="1:8" ht="15.75" customHeight="1" x14ac:dyDescent="0.2">
      <c r="A7" s="140"/>
      <c r="B7" s="6" t="s">
        <v>15</v>
      </c>
      <c r="C7" s="7">
        <f t="shared" ref="C7:H7" si="2">(C4-C5)</f>
        <v>42200</v>
      </c>
      <c r="D7" s="7">
        <f t="shared" si="2"/>
        <v>47700</v>
      </c>
      <c r="E7" s="7">
        <f t="shared" si="2"/>
        <v>57700</v>
      </c>
      <c r="F7" s="7">
        <f t="shared" si="2"/>
        <v>63200</v>
      </c>
      <c r="G7" s="7">
        <f t="shared" si="2"/>
        <v>66200</v>
      </c>
      <c r="H7" s="7">
        <f t="shared" si="2"/>
        <v>73700</v>
      </c>
    </row>
    <row r="8" spans="1:8" ht="15.75" customHeight="1" x14ac:dyDescent="0.2">
      <c r="A8" s="139" t="s">
        <v>16</v>
      </c>
      <c r="B8" s="30" t="s">
        <v>12</v>
      </c>
      <c r="C8" s="4">
        <v>75550</v>
      </c>
      <c r="D8" s="4">
        <f t="shared" ref="D8:H8" si="3">C8</f>
        <v>75550</v>
      </c>
      <c r="E8" s="4">
        <f t="shared" si="3"/>
        <v>75550</v>
      </c>
      <c r="F8" s="4">
        <f t="shared" si="3"/>
        <v>75550</v>
      </c>
      <c r="G8" s="32">
        <f t="shared" si="3"/>
        <v>75550</v>
      </c>
      <c r="H8" s="32">
        <f t="shared" si="3"/>
        <v>75550</v>
      </c>
    </row>
    <row r="9" spans="1:8" ht="15.75" customHeight="1" x14ac:dyDescent="0.2">
      <c r="A9" s="80"/>
      <c r="B9" s="3" t="s">
        <v>13</v>
      </c>
      <c r="C9" s="4">
        <f t="shared" ref="C9:H9" si="4">C5</f>
        <v>31500</v>
      </c>
      <c r="D9" s="4">
        <f t="shared" si="4"/>
        <v>26000</v>
      </c>
      <c r="E9" s="4">
        <f t="shared" si="4"/>
        <v>16000</v>
      </c>
      <c r="F9" s="4">
        <f t="shared" si="4"/>
        <v>10500</v>
      </c>
      <c r="G9" s="32">
        <f t="shared" si="4"/>
        <v>7500</v>
      </c>
      <c r="H9" s="32">
        <f t="shared" si="4"/>
        <v>0</v>
      </c>
    </row>
    <row r="10" spans="1:8" ht="15.75" customHeight="1" x14ac:dyDescent="0.2">
      <c r="A10" s="80"/>
      <c r="B10" s="6" t="s">
        <v>14</v>
      </c>
      <c r="C10" s="7">
        <f t="shared" ref="C10:H10" si="5">(C8-C9)*2*0.95</f>
        <v>83695</v>
      </c>
      <c r="D10" s="7">
        <f t="shared" si="5"/>
        <v>94145</v>
      </c>
      <c r="E10" s="7">
        <f t="shared" si="5"/>
        <v>113145</v>
      </c>
      <c r="F10" s="7">
        <f t="shared" si="5"/>
        <v>123595</v>
      </c>
      <c r="G10" s="7">
        <f t="shared" si="5"/>
        <v>129295</v>
      </c>
      <c r="H10" s="7">
        <f t="shared" si="5"/>
        <v>143545</v>
      </c>
    </row>
    <row r="11" spans="1:8" ht="15.75" customHeight="1" x14ac:dyDescent="0.2">
      <c r="A11" s="82"/>
      <c r="B11" s="6" t="s">
        <v>15</v>
      </c>
      <c r="C11" s="7">
        <f t="shared" ref="C11:H11" si="6">(C8-C9)</f>
        <v>44050</v>
      </c>
      <c r="D11" s="7">
        <f t="shared" si="6"/>
        <v>49550</v>
      </c>
      <c r="E11" s="7">
        <f t="shared" si="6"/>
        <v>59550</v>
      </c>
      <c r="F11" s="7">
        <f t="shared" si="6"/>
        <v>65050</v>
      </c>
      <c r="G11" s="7">
        <f t="shared" si="6"/>
        <v>68050</v>
      </c>
      <c r="H11" s="7">
        <f t="shared" si="6"/>
        <v>75550</v>
      </c>
    </row>
    <row r="12" spans="1:8" ht="15.75" customHeight="1" x14ac:dyDescent="0.2">
      <c r="A12" s="139" t="s">
        <v>17</v>
      </c>
      <c r="B12" s="30" t="s">
        <v>12</v>
      </c>
      <c r="C12" s="4">
        <f>C8*1.05</f>
        <v>79327.5</v>
      </c>
      <c r="D12" s="4">
        <f t="shared" ref="D12:H12" si="7">C12</f>
        <v>79327.5</v>
      </c>
      <c r="E12" s="4">
        <f t="shared" si="7"/>
        <v>79327.5</v>
      </c>
      <c r="F12" s="4">
        <f t="shared" si="7"/>
        <v>79327.5</v>
      </c>
      <c r="G12" s="32">
        <f t="shared" si="7"/>
        <v>79327.5</v>
      </c>
      <c r="H12" s="32">
        <f t="shared" si="7"/>
        <v>79327.5</v>
      </c>
    </row>
    <row r="13" spans="1:8" ht="15.75" customHeight="1" x14ac:dyDescent="0.2">
      <c r="A13" s="80"/>
      <c r="B13" s="3" t="s">
        <v>13</v>
      </c>
      <c r="C13" s="4">
        <f t="shared" ref="C13:H13" si="8">C5</f>
        <v>31500</v>
      </c>
      <c r="D13" s="4">
        <f t="shared" si="8"/>
        <v>26000</v>
      </c>
      <c r="E13" s="4">
        <f t="shared" si="8"/>
        <v>16000</v>
      </c>
      <c r="F13" s="4">
        <f t="shared" si="8"/>
        <v>10500</v>
      </c>
      <c r="G13" s="32">
        <f t="shared" si="8"/>
        <v>7500</v>
      </c>
      <c r="H13" s="32">
        <f t="shared" si="8"/>
        <v>0</v>
      </c>
    </row>
    <row r="14" spans="1:8" ht="15.75" customHeight="1" x14ac:dyDescent="0.2">
      <c r="A14" s="80"/>
      <c r="B14" s="6" t="s">
        <v>14</v>
      </c>
      <c r="C14" s="7">
        <f t="shared" ref="C14:H14" si="9">(C12-C13)*2*0.95</f>
        <v>90872.25</v>
      </c>
      <c r="D14" s="7">
        <f t="shared" si="9"/>
        <v>101322.25</v>
      </c>
      <c r="E14" s="7">
        <f t="shared" si="9"/>
        <v>120322.25</v>
      </c>
      <c r="F14" s="7">
        <f t="shared" si="9"/>
        <v>130772.25</v>
      </c>
      <c r="G14" s="7">
        <f t="shared" si="9"/>
        <v>136472.25</v>
      </c>
      <c r="H14" s="7">
        <f t="shared" si="9"/>
        <v>150722.25</v>
      </c>
    </row>
    <row r="15" spans="1:8" ht="15.75" customHeight="1" x14ac:dyDescent="0.2">
      <c r="A15" s="82"/>
      <c r="B15" s="6" t="s">
        <v>15</v>
      </c>
      <c r="C15" s="7">
        <f t="shared" ref="C15:H15" si="10">(C12-C13)</f>
        <v>47827.5</v>
      </c>
      <c r="D15" s="7">
        <f t="shared" si="10"/>
        <v>53327.5</v>
      </c>
      <c r="E15" s="7">
        <f t="shared" si="10"/>
        <v>63327.5</v>
      </c>
      <c r="F15" s="7">
        <f t="shared" si="10"/>
        <v>68827.5</v>
      </c>
      <c r="G15" s="7">
        <f t="shared" si="10"/>
        <v>71827.5</v>
      </c>
      <c r="H15" s="7">
        <f t="shared" si="10"/>
        <v>79327.5</v>
      </c>
    </row>
    <row r="16" spans="1:8" ht="15.75" customHeight="1" x14ac:dyDescent="0.2">
      <c r="A16" s="124" t="s">
        <v>19</v>
      </c>
      <c r="B16" s="125"/>
      <c r="C16" s="33">
        <f t="shared" ref="C16:H16" si="11">SUM(C6,C10,C14)</f>
        <v>254747.25</v>
      </c>
      <c r="D16" s="33">
        <f t="shared" si="11"/>
        <v>286097.25</v>
      </c>
      <c r="E16" s="33">
        <f t="shared" si="11"/>
        <v>343097.25</v>
      </c>
      <c r="F16" s="33">
        <f t="shared" si="11"/>
        <v>374447.25</v>
      </c>
      <c r="G16" s="33">
        <f t="shared" si="11"/>
        <v>391547.25</v>
      </c>
      <c r="H16" s="33">
        <f t="shared" si="11"/>
        <v>434297.25</v>
      </c>
    </row>
    <row r="17" spans="1:8" ht="15.75" customHeight="1" x14ac:dyDescent="0.2">
      <c r="A17" s="126" t="s">
        <v>20</v>
      </c>
      <c r="B17" s="127"/>
      <c r="C17" s="118" t="s">
        <v>21</v>
      </c>
      <c r="D17" s="82"/>
      <c r="E17" s="34">
        <v>10000</v>
      </c>
      <c r="F17" s="119"/>
      <c r="G17" s="120"/>
      <c r="H17" s="120"/>
    </row>
    <row r="18" spans="1:8" ht="15.75" customHeight="1" x14ac:dyDescent="0.2">
      <c r="A18" s="128"/>
      <c r="B18" s="129"/>
      <c r="C18" s="122" t="s">
        <v>22</v>
      </c>
      <c r="D18" s="75"/>
      <c r="E18" s="35">
        <v>5000</v>
      </c>
      <c r="F18" s="86"/>
      <c r="G18" s="86"/>
      <c r="H18" s="86"/>
    </row>
    <row r="19" spans="1:8" ht="15.75" customHeight="1" x14ac:dyDescent="0.2">
      <c r="A19" s="128"/>
      <c r="B19" s="129"/>
      <c r="C19" s="123" t="s">
        <v>23</v>
      </c>
      <c r="D19" s="78"/>
      <c r="E19" s="36">
        <v>3000</v>
      </c>
      <c r="F19" s="86"/>
      <c r="G19" s="86"/>
      <c r="H19" s="86"/>
    </row>
    <row r="20" spans="1:8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86"/>
      <c r="G20" s="86"/>
      <c r="H20" s="86"/>
    </row>
    <row r="21" spans="1:8" ht="15.75" customHeight="1" x14ac:dyDescent="0.2">
      <c r="A21" s="81"/>
      <c r="B21" s="82"/>
      <c r="C21" s="76" t="s">
        <v>26</v>
      </c>
      <c r="D21" s="75"/>
      <c r="E21" s="3">
        <v>9750</v>
      </c>
      <c r="F21" s="121"/>
      <c r="G21" s="121"/>
      <c r="H21" s="121"/>
    </row>
    <row r="22" spans="1:8" ht="15.75" customHeight="1" x14ac:dyDescent="0.2">
      <c r="A22" s="154" t="s">
        <v>297</v>
      </c>
      <c r="B22" s="133"/>
      <c r="C22" s="133"/>
      <c r="D22" s="133"/>
      <c r="E22" s="133"/>
      <c r="F22" s="133"/>
      <c r="G22" s="133"/>
      <c r="H22" s="134"/>
    </row>
    <row r="23" spans="1:8" ht="15.75" customHeight="1" x14ac:dyDescent="0.2">
      <c r="A23" s="155" t="s">
        <v>98</v>
      </c>
      <c r="B23" s="74"/>
      <c r="C23" s="74"/>
      <c r="D23" s="74"/>
      <c r="E23" s="74"/>
      <c r="F23" s="74"/>
      <c r="G23" s="74"/>
      <c r="H23" s="75"/>
    </row>
    <row r="24" spans="1:8" ht="15.75" customHeight="1" x14ac:dyDescent="0.2">
      <c r="A24" s="135" t="s">
        <v>27</v>
      </c>
      <c r="B24" s="74"/>
      <c r="C24" s="74"/>
      <c r="D24" s="74"/>
      <c r="E24" s="74"/>
      <c r="F24" s="74"/>
      <c r="G24" s="74"/>
      <c r="H24" s="75"/>
    </row>
    <row r="25" spans="1:8" ht="15.75" customHeight="1" x14ac:dyDescent="0.2">
      <c r="A25" s="136" t="s">
        <v>28</v>
      </c>
      <c r="B25" s="125"/>
      <c r="C25" s="125"/>
      <c r="D25" s="125"/>
      <c r="E25" s="125"/>
      <c r="F25" s="125"/>
      <c r="G25" s="125"/>
      <c r="H25" s="125"/>
    </row>
    <row r="26" spans="1:8" ht="15.75" customHeight="1" x14ac:dyDescent="0.2">
      <c r="A26" s="95" t="s">
        <v>29</v>
      </c>
      <c r="B26" s="74"/>
      <c r="C26" s="74"/>
      <c r="D26" s="74"/>
      <c r="E26" s="74"/>
      <c r="F26" s="74"/>
      <c r="G26" s="74"/>
      <c r="H26" s="74"/>
    </row>
    <row r="27" spans="1:8" ht="15.75" customHeight="1" x14ac:dyDescent="0.2">
      <c r="A27" s="95" t="s">
        <v>30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B16"/>
    <mergeCell ref="A17:B19"/>
    <mergeCell ref="A22:H22"/>
    <mergeCell ref="A23:H23"/>
    <mergeCell ref="A24:H24"/>
    <mergeCell ref="A25:H25"/>
    <mergeCell ref="A26:H26"/>
    <mergeCell ref="A27:H27"/>
    <mergeCell ref="C17:D17"/>
    <mergeCell ref="F17:H21"/>
    <mergeCell ref="C18:D18"/>
    <mergeCell ref="C19:D19"/>
    <mergeCell ref="A20:B21"/>
    <mergeCell ref="C20:D20"/>
    <mergeCell ref="C21:D21"/>
  </mergeCells>
  <pageMargins left="0.7" right="0.7" top="0.75" bottom="0.75" header="0" footer="0"/>
  <pageSetup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90" t="s">
        <v>307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1" t="s">
        <v>308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63600</v>
      </c>
      <c r="D4" s="16">
        <f t="shared" ref="D4:H4" si="0">C4</f>
        <v>63600</v>
      </c>
      <c r="E4" s="16">
        <f t="shared" si="0"/>
        <v>63600</v>
      </c>
      <c r="F4" s="16">
        <f t="shared" si="0"/>
        <v>63600</v>
      </c>
      <c r="G4" s="16">
        <f t="shared" si="0"/>
        <v>63600</v>
      </c>
      <c r="H4" s="16">
        <f t="shared" si="0"/>
        <v>63600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80940</v>
      </c>
      <c r="D6" s="7">
        <f t="shared" si="1"/>
        <v>96900</v>
      </c>
      <c r="E6" s="7">
        <f t="shared" si="1"/>
        <v>104880</v>
      </c>
      <c r="F6" s="7">
        <f t="shared" si="1"/>
        <v>108870</v>
      </c>
      <c r="G6" s="7">
        <f t="shared" si="1"/>
        <v>112860</v>
      </c>
      <c r="H6" s="7">
        <f t="shared" si="1"/>
        <v>120840</v>
      </c>
    </row>
    <row r="7" spans="1:8" ht="15.75" customHeight="1" x14ac:dyDescent="0.2">
      <c r="A7" s="94"/>
      <c r="B7" s="6" t="s">
        <v>15</v>
      </c>
      <c r="C7" s="7">
        <f t="shared" ref="C7:H7" si="2">(C4-C5)</f>
        <v>42600</v>
      </c>
      <c r="D7" s="7">
        <f t="shared" si="2"/>
        <v>51000</v>
      </c>
      <c r="E7" s="7">
        <f t="shared" si="2"/>
        <v>55200</v>
      </c>
      <c r="F7" s="7">
        <f t="shared" si="2"/>
        <v>57300</v>
      </c>
      <c r="G7" s="7">
        <f t="shared" si="2"/>
        <v>59400</v>
      </c>
      <c r="H7" s="7">
        <f t="shared" si="2"/>
        <v>63600</v>
      </c>
    </row>
    <row r="8" spans="1:8" ht="15.75" customHeight="1" x14ac:dyDescent="0.2">
      <c r="A8" s="92" t="s">
        <v>16</v>
      </c>
      <c r="B8" s="3" t="s">
        <v>12</v>
      </c>
      <c r="C8" s="4">
        <v>64900</v>
      </c>
      <c r="D8" s="4">
        <f t="shared" ref="D8:H8" si="3">C8</f>
        <v>64900</v>
      </c>
      <c r="E8" s="4">
        <f t="shared" si="3"/>
        <v>64900</v>
      </c>
      <c r="F8" s="4">
        <f t="shared" si="3"/>
        <v>64900</v>
      </c>
      <c r="G8" s="4">
        <f t="shared" si="3"/>
        <v>64900</v>
      </c>
      <c r="H8" s="4">
        <f t="shared" si="3"/>
        <v>64900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83410</v>
      </c>
      <c r="D10" s="7">
        <f t="shared" si="5"/>
        <v>99370</v>
      </c>
      <c r="E10" s="7">
        <f t="shared" si="5"/>
        <v>107350</v>
      </c>
      <c r="F10" s="7">
        <f t="shared" si="5"/>
        <v>111340</v>
      </c>
      <c r="G10" s="7">
        <f t="shared" si="5"/>
        <v>115330</v>
      </c>
      <c r="H10" s="7">
        <f t="shared" si="5"/>
        <v>123310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43900</v>
      </c>
      <c r="D11" s="7">
        <f t="shared" si="6"/>
        <v>52300</v>
      </c>
      <c r="E11" s="7">
        <f t="shared" si="6"/>
        <v>56500</v>
      </c>
      <c r="F11" s="7">
        <f t="shared" si="6"/>
        <v>58600</v>
      </c>
      <c r="G11" s="7">
        <f t="shared" si="6"/>
        <v>60700</v>
      </c>
      <c r="H11" s="7">
        <f t="shared" si="6"/>
        <v>64900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68145</v>
      </c>
      <c r="D12" s="4">
        <f t="shared" ref="D12:H12" si="7">C12</f>
        <v>68145</v>
      </c>
      <c r="E12" s="4">
        <f t="shared" si="7"/>
        <v>68145</v>
      </c>
      <c r="F12" s="4">
        <f t="shared" si="7"/>
        <v>68145</v>
      </c>
      <c r="G12" s="4">
        <f t="shared" si="7"/>
        <v>68145</v>
      </c>
      <c r="H12" s="4">
        <f t="shared" si="7"/>
        <v>68145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89575.5</v>
      </c>
      <c r="D14" s="7">
        <f t="shared" si="9"/>
        <v>105535.5</v>
      </c>
      <c r="E14" s="7">
        <f t="shared" si="9"/>
        <v>113515.5</v>
      </c>
      <c r="F14" s="7">
        <f t="shared" si="9"/>
        <v>117505.5</v>
      </c>
      <c r="G14" s="7">
        <f t="shared" si="9"/>
        <v>121495.5</v>
      </c>
      <c r="H14" s="7">
        <f t="shared" si="9"/>
        <v>129475.5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47145</v>
      </c>
      <c r="D15" s="7">
        <f t="shared" si="10"/>
        <v>55545</v>
      </c>
      <c r="E15" s="7">
        <f t="shared" si="10"/>
        <v>59745</v>
      </c>
      <c r="F15" s="7">
        <f t="shared" si="10"/>
        <v>61845</v>
      </c>
      <c r="G15" s="7">
        <f t="shared" si="10"/>
        <v>63945</v>
      </c>
      <c r="H15" s="7">
        <f t="shared" si="10"/>
        <v>68145</v>
      </c>
    </row>
    <row r="16" spans="1:8" ht="15.75" customHeight="1" x14ac:dyDescent="0.2">
      <c r="A16" s="92" t="s">
        <v>191</v>
      </c>
      <c r="B16" s="3" t="s">
        <v>12</v>
      </c>
      <c r="C16" s="4">
        <f>C12*1.05</f>
        <v>71552.25</v>
      </c>
      <c r="D16" s="4">
        <f t="shared" ref="D16:H16" si="11">C16</f>
        <v>71552.25</v>
      </c>
      <c r="E16" s="4">
        <f t="shared" si="11"/>
        <v>71552.25</v>
      </c>
      <c r="F16" s="4">
        <f t="shared" si="11"/>
        <v>71552.25</v>
      </c>
      <c r="G16" s="4">
        <f t="shared" si="11"/>
        <v>71552.25</v>
      </c>
      <c r="H16" s="4">
        <f t="shared" si="11"/>
        <v>71552.25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96049.274999999994</v>
      </c>
      <c r="D18" s="7">
        <f t="shared" si="13"/>
        <v>112009.27499999999</v>
      </c>
      <c r="E18" s="7">
        <f t="shared" si="13"/>
        <v>119989.27499999999</v>
      </c>
      <c r="F18" s="7">
        <f t="shared" si="13"/>
        <v>123979.27499999999</v>
      </c>
      <c r="G18" s="7">
        <f t="shared" si="13"/>
        <v>127969.27499999999</v>
      </c>
      <c r="H18" s="7">
        <f t="shared" si="13"/>
        <v>135949.27499999999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50552.25</v>
      </c>
      <c r="D19" s="7">
        <f t="shared" si="14"/>
        <v>58952.25</v>
      </c>
      <c r="E19" s="7">
        <f t="shared" si="14"/>
        <v>63152.25</v>
      </c>
      <c r="F19" s="7">
        <f t="shared" si="14"/>
        <v>65252.25</v>
      </c>
      <c r="G19" s="7">
        <f t="shared" si="14"/>
        <v>67352.25</v>
      </c>
      <c r="H19" s="7">
        <f t="shared" si="14"/>
        <v>71552.25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349974.77500000002</v>
      </c>
      <c r="D20" s="9">
        <f t="shared" si="15"/>
        <v>413814.77500000002</v>
      </c>
      <c r="E20" s="9">
        <f t="shared" si="15"/>
        <v>445734.77500000002</v>
      </c>
      <c r="F20" s="9">
        <f t="shared" si="15"/>
        <v>461694.77500000002</v>
      </c>
      <c r="G20" s="9">
        <f t="shared" si="15"/>
        <v>477654.77500000002</v>
      </c>
      <c r="H20" s="9">
        <f t="shared" si="15"/>
        <v>509574.77500000002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73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73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000"/>
  <sheetViews>
    <sheetView workbookViewId="0"/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90" t="s">
        <v>309</v>
      </c>
      <c r="B1" s="74"/>
      <c r="C1" s="74"/>
      <c r="D1" s="74"/>
      <c r="E1" s="74"/>
      <c r="F1" s="74"/>
      <c r="G1" s="74"/>
      <c r="H1" s="75"/>
    </row>
    <row r="2" spans="1:8" ht="35.25" customHeight="1" x14ac:dyDescent="0.2">
      <c r="A2" s="91" t="s">
        <v>310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54950</v>
      </c>
      <c r="D4" s="16">
        <f t="shared" ref="D4:H4" si="0">C4</f>
        <v>54950</v>
      </c>
      <c r="E4" s="16">
        <f t="shared" si="0"/>
        <v>54950</v>
      </c>
      <c r="F4" s="16">
        <f t="shared" si="0"/>
        <v>54950</v>
      </c>
      <c r="G4" s="16">
        <f t="shared" si="0"/>
        <v>54950</v>
      </c>
      <c r="H4" s="16">
        <f t="shared" si="0"/>
        <v>54950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64505</v>
      </c>
      <c r="D6" s="7">
        <f t="shared" si="1"/>
        <v>80465</v>
      </c>
      <c r="E6" s="7">
        <f t="shared" si="1"/>
        <v>88445</v>
      </c>
      <c r="F6" s="7">
        <f t="shared" si="1"/>
        <v>92435</v>
      </c>
      <c r="G6" s="7">
        <f t="shared" si="1"/>
        <v>96425</v>
      </c>
      <c r="H6" s="7">
        <f t="shared" si="1"/>
        <v>104405</v>
      </c>
    </row>
    <row r="7" spans="1:8" ht="15.75" customHeight="1" x14ac:dyDescent="0.2">
      <c r="A7" s="94"/>
      <c r="B7" s="6" t="s">
        <v>15</v>
      </c>
      <c r="C7" s="7">
        <f t="shared" ref="C7:H7" si="2">(C4-C5)</f>
        <v>33950</v>
      </c>
      <c r="D7" s="7">
        <f t="shared" si="2"/>
        <v>42350</v>
      </c>
      <c r="E7" s="7">
        <f t="shared" si="2"/>
        <v>46550</v>
      </c>
      <c r="F7" s="7">
        <f t="shared" si="2"/>
        <v>48650</v>
      </c>
      <c r="G7" s="7">
        <f t="shared" si="2"/>
        <v>50750</v>
      </c>
      <c r="H7" s="7">
        <f t="shared" si="2"/>
        <v>54950</v>
      </c>
    </row>
    <row r="8" spans="1:8" ht="15.75" customHeight="1" x14ac:dyDescent="0.2">
      <c r="A8" s="92" t="s">
        <v>16</v>
      </c>
      <c r="B8" s="3" t="s">
        <v>12</v>
      </c>
      <c r="C8" s="4">
        <v>55850</v>
      </c>
      <c r="D8" s="4">
        <f t="shared" ref="D8:H8" si="3">C8</f>
        <v>55850</v>
      </c>
      <c r="E8" s="4">
        <f t="shared" si="3"/>
        <v>55850</v>
      </c>
      <c r="F8" s="4">
        <f t="shared" si="3"/>
        <v>55850</v>
      </c>
      <c r="G8" s="4">
        <f t="shared" si="3"/>
        <v>55850</v>
      </c>
      <c r="H8" s="4">
        <f t="shared" si="3"/>
        <v>55850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66215</v>
      </c>
      <c r="D10" s="7">
        <f t="shared" si="5"/>
        <v>82175</v>
      </c>
      <c r="E10" s="7">
        <f t="shared" si="5"/>
        <v>90155</v>
      </c>
      <c r="F10" s="7">
        <f t="shared" si="5"/>
        <v>94145</v>
      </c>
      <c r="G10" s="7">
        <f t="shared" si="5"/>
        <v>98135</v>
      </c>
      <c r="H10" s="7">
        <f t="shared" si="5"/>
        <v>106115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34850</v>
      </c>
      <c r="D11" s="7">
        <f t="shared" si="6"/>
        <v>43250</v>
      </c>
      <c r="E11" s="7">
        <f t="shared" si="6"/>
        <v>47450</v>
      </c>
      <c r="F11" s="7">
        <f t="shared" si="6"/>
        <v>49550</v>
      </c>
      <c r="G11" s="7">
        <f t="shared" si="6"/>
        <v>51650</v>
      </c>
      <c r="H11" s="7">
        <f t="shared" si="6"/>
        <v>55850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58642.5</v>
      </c>
      <c r="D12" s="4">
        <f t="shared" ref="D12:H12" si="7">C12</f>
        <v>58642.5</v>
      </c>
      <c r="E12" s="4">
        <f t="shared" si="7"/>
        <v>58642.5</v>
      </c>
      <c r="F12" s="4">
        <f t="shared" si="7"/>
        <v>58642.5</v>
      </c>
      <c r="G12" s="4">
        <f t="shared" si="7"/>
        <v>58642.5</v>
      </c>
      <c r="H12" s="4">
        <f t="shared" si="7"/>
        <v>58642.5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71520.75</v>
      </c>
      <c r="D14" s="7">
        <f t="shared" si="9"/>
        <v>87480.75</v>
      </c>
      <c r="E14" s="7">
        <f t="shared" si="9"/>
        <v>95460.75</v>
      </c>
      <c r="F14" s="7">
        <f t="shared" si="9"/>
        <v>99450.75</v>
      </c>
      <c r="G14" s="7">
        <f t="shared" si="9"/>
        <v>103440.75</v>
      </c>
      <c r="H14" s="7">
        <f t="shared" si="9"/>
        <v>111420.75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37642.5</v>
      </c>
      <c r="D15" s="7">
        <f t="shared" si="10"/>
        <v>46042.5</v>
      </c>
      <c r="E15" s="7">
        <f t="shared" si="10"/>
        <v>50242.5</v>
      </c>
      <c r="F15" s="7">
        <f t="shared" si="10"/>
        <v>52342.5</v>
      </c>
      <c r="G15" s="7">
        <f t="shared" si="10"/>
        <v>54442.5</v>
      </c>
      <c r="H15" s="7">
        <f t="shared" si="10"/>
        <v>58642.5</v>
      </c>
    </row>
    <row r="16" spans="1:8" ht="15.75" customHeight="1" x14ac:dyDescent="0.2">
      <c r="A16" s="92" t="s">
        <v>191</v>
      </c>
      <c r="B16" s="3" t="s">
        <v>12</v>
      </c>
      <c r="C16" s="4">
        <f>C12*1.05</f>
        <v>61574.625</v>
      </c>
      <c r="D16" s="4">
        <f t="shared" ref="D16:H16" si="11">C16</f>
        <v>61574.625</v>
      </c>
      <c r="E16" s="4">
        <f t="shared" si="11"/>
        <v>61574.625</v>
      </c>
      <c r="F16" s="4">
        <f t="shared" si="11"/>
        <v>61574.625</v>
      </c>
      <c r="G16" s="4">
        <f t="shared" si="11"/>
        <v>61574.625</v>
      </c>
      <c r="H16" s="4">
        <f t="shared" si="11"/>
        <v>61574.625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77091.787499999991</v>
      </c>
      <c r="D18" s="7">
        <f t="shared" si="13"/>
        <v>93051.787499999991</v>
      </c>
      <c r="E18" s="7">
        <f t="shared" si="13"/>
        <v>101031.78749999999</v>
      </c>
      <c r="F18" s="7">
        <f t="shared" si="13"/>
        <v>105021.78749999999</v>
      </c>
      <c r="G18" s="7">
        <f t="shared" si="13"/>
        <v>109011.78749999999</v>
      </c>
      <c r="H18" s="7">
        <f t="shared" si="13"/>
        <v>116991.78749999999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40574.625</v>
      </c>
      <c r="D19" s="7">
        <f t="shared" si="14"/>
        <v>48974.625</v>
      </c>
      <c r="E19" s="7">
        <f t="shared" si="14"/>
        <v>53174.625</v>
      </c>
      <c r="F19" s="7">
        <f t="shared" si="14"/>
        <v>55274.625</v>
      </c>
      <c r="G19" s="7">
        <f t="shared" si="14"/>
        <v>57374.625</v>
      </c>
      <c r="H19" s="7">
        <f t="shared" si="14"/>
        <v>61574.625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279332.53749999998</v>
      </c>
      <c r="D20" s="9">
        <f t="shared" si="15"/>
        <v>343172.53749999998</v>
      </c>
      <c r="E20" s="9">
        <f t="shared" si="15"/>
        <v>375092.53749999998</v>
      </c>
      <c r="F20" s="9">
        <f t="shared" si="15"/>
        <v>391052.53749999998</v>
      </c>
      <c r="G20" s="9">
        <f t="shared" si="15"/>
        <v>407012.53749999998</v>
      </c>
      <c r="H20" s="9">
        <f t="shared" si="15"/>
        <v>438932.53749999998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73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73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1000"/>
  <sheetViews>
    <sheetView workbookViewId="0">
      <selection activeCell="C3" sqref="C3:G3"/>
    </sheetView>
  </sheetViews>
  <sheetFormatPr baseColWidth="10" defaultColWidth="11.1640625" defaultRowHeight="15" customHeight="1" x14ac:dyDescent="0.2"/>
  <cols>
    <col min="1" max="8" width="10.6640625" customWidth="1"/>
    <col min="9" max="26" width="11.1640625" customWidth="1"/>
  </cols>
  <sheetData>
    <row r="1" spans="1:8" ht="15.75" customHeight="1" x14ac:dyDescent="0.2">
      <c r="A1" s="90" t="s">
        <v>311</v>
      </c>
      <c r="B1" s="74"/>
      <c r="C1" s="74"/>
      <c r="D1" s="74"/>
      <c r="E1" s="74"/>
      <c r="F1" s="74"/>
      <c r="G1" s="74"/>
      <c r="H1" s="75"/>
    </row>
    <row r="2" spans="1:8" ht="35.25" customHeight="1" x14ac:dyDescent="0.2">
      <c r="A2" s="91" t="s">
        <v>312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54950</v>
      </c>
      <c r="D4" s="16">
        <f t="shared" ref="D4:H4" si="0">C4</f>
        <v>54950</v>
      </c>
      <c r="E4" s="16">
        <f t="shared" si="0"/>
        <v>54950</v>
      </c>
      <c r="F4" s="16">
        <f t="shared" si="0"/>
        <v>54950</v>
      </c>
      <c r="G4" s="16">
        <f t="shared" si="0"/>
        <v>54950</v>
      </c>
      <c r="H4" s="16">
        <f t="shared" si="0"/>
        <v>54950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64505</v>
      </c>
      <c r="D6" s="7">
        <f t="shared" si="1"/>
        <v>80465</v>
      </c>
      <c r="E6" s="7">
        <f t="shared" si="1"/>
        <v>88445</v>
      </c>
      <c r="F6" s="7">
        <f t="shared" si="1"/>
        <v>92435</v>
      </c>
      <c r="G6" s="7">
        <f t="shared" si="1"/>
        <v>96425</v>
      </c>
      <c r="H6" s="7">
        <f t="shared" si="1"/>
        <v>104405</v>
      </c>
    </row>
    <row r="7" spans="1:8" ht="15.75" customHeight="1" x14ac:dyDescent="0.2">
      <c r="A7" s="94"/>
      <c r="B7" s="6" t="s">
        <v>15</v>
      </c>
      <c r="C7" s="7">
        <f t="shared" ref="C7:H7" si="2">(C4-C5)</f>
        <v>33950</v>
      </c>
      <c r="D7" s="7">
        <f t="shared" si="2"/>
        <v>42350</v>
      </c>
      <c r="E7" s="7">
        <f t="shared" si="2"/>
        <v>46550</v>
      </c>
      <c r="F7" s="7">
        <f t="shared" si="2"/>
        <v>48650</v>
      </c>
      <c r="G7" s="7">
        <f t="shared" si="2"/>
        <v>50750</v>
      </c>
      <c r="H7" s="7">
        <f t="shared" si="2"/>
        <v>54950</v>
      </c>
    </row>
    <row r="8" spans="1:8" ht="15.75" customHeight="1" x14ac:dyDescent="0.2">
      <c r="A8" s="92" t="s">
        <v>16</v>
      </c>
      <c r="B8" s="3" t="s">
        <v>12</v>
      </c>
      <c r="C8" s="4">
        <v>55850</v>
      </c>
      <c r="D8" s="4">
        <f t="shared" ref="D8:H8" si="3">C8</f>
        <v>55850</v>
      </c>
      <c r="E8" s="4">
        <f t="shared" si="3"/>
        <v>55850</v>
      </c>
      <c r="F8" s="4">
        <f t="shared" si="3"/>
        <v>55850</v>
      </c>
      <c r="G8" s="4">
        <f t="shared" si="3"/>
        <v>55850</v>
      </c>
      <c r="H8" s="4">
        <f t="shared" si="3"/>
        <v>55850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66215</v>
      </c>
      <c r="D10" s="7">
        <f t="shared" si="5"/>
        <v>82175</v>
      </c>
      <c r="E10" s="7">
        <f t="shared" si="5"/>
        <v>90155</v>
      </c>
      <c r="F10" s="7">
        <f t="shared" si="5"/>
        <v>94145</v>
      </c>
      <c r="G10" s="7">
        <f t="shared" si="5"/>
        <v>98135</v>
      </c>
      <c r="H10" s="7">
        <f t="shared" si="5"/>
        <v>106115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34850</v>
      </c>
      <c r="D11" s="7">
        <f t="shared" si="6"/>
        <v>43250</v>
      </c>
      <c r="E11" s="7">
        <f t="shared" si="6"/>
        <v>47450</v>
      </c>
      <c r="F11" s="7">
        <f t="shared" si="6"/>
        <v>49550</v>
      </c>
      <c r="G11" s="7">
        <f t="shared" si="6"/>
        <v>51650</v>
      </c>
      <c r="H11" s="7">
        <f t="shared" si="6"/>
        <v>55850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58642.5</v>
      </c>
      <c r="D12" s="4">
        <f t="shared" ref="D12:H12" si="7">C12</f>
        <v>58642.5</v>
      </c>
      <c r="E12" s="4">
        <f t="shared" si="7"/>
        <v>58642.5</v>
      </c>
      <c r="F12" s="4">
        <f t="shared" si="7"/>
        <v>58642.5</v>
      </c>
      <c r="G12" s="4">
        <f t="shared" si="7"/>
        <v>58642.5</v>
      </c>
      <c r="H12" s="4">
        <f t="shared" si="7"/>
        <v>58642.5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71520.75</v>
      </c>
      <c r="D14" s="7">
        <f t="shared" si="9"/>
        <v>87480.75</v>
      </c>
      <c r="E14" s="7">
        <f t="shared" si="9"/>
        <v>95460.75</v>
      </c>
      <c r="F14" s="7">
        <f t="shared" si="9"/>
        <v>99450.75</v>
      </c>
      <c r="G14" s="7">
        <f t="shared" si="9"/>
        <v>103440.75</v>
      </c>
      <c r="H14" s="7">
        <f t="shared" si="9"/>
        <v>111420.75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37642.5</v>
      </c>
      <c r="D15" s="7">
        <f t="shared" si="10"/>
        <v>46042.5</v>
      </c>
      <c r="E15" s="7">
        <f t="shared" si="10"/>
        <v>50242.5</v>
      </c>
      <c r="F15" s="7">
        <f t="shared" si="10"/>
        <v>52342.5</v>
      </c>
      <c r="G15" s="7">
        <f t="shared" si="10"/>
        <v>54442.5</v>
      </c>
      <c r="H15" s="7">
        <f t="shared" si="10"/>
        <v>58642.5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61574.625</v>
      </c>
      <c r="D16" s="4">
        <f t="shared" ref="D16:H16" si="11">C16</f>
        <v>61574.625</v>
      </c>
      <c r="E16" s="4">
        <f t="shared" si="11"/>
        <v>61574.625</v>
      </c>
      <c r="F16" s="4">
        <f t="shared" si="11"/>
        <v>61574.625</v>
      </c>
      <c r="G16" s="4">
        <f t="shared" si="11"/>
        <v>61574.625</v>
      </c>
      <c r="H16" s="4">
        <f t="shared" si="11"/>
        <v>61574.625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77091.787499999991</v>
      </c>
      <c r="D18" s="7">
        <f t="shared" si="13"/>
        <v>93051.787499999991</v>
      </c>
      <c r="E18" s="7">
        <f t="shared" si="13"/>
        <v>101031.78749999999</v>
      </c>
      <c r="F18" s="7">
        <f t="shared" si="13"/>
        <v>105021.78749999999</v>
      </c>
      <c r="G18" s="7">
        <f t="shared" si="13"/>
        <v>109011.78749999999</v>
      </c>
      <c r="H18" s="7">
        <f t="shared" si="13"/>
        <v>116991.78749999999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40574.625</v>
      </c>
      <c r="D19" s="7">
        <f t="shared" si="14"/>
        <v>48974.625</v>
      </c>
      <c r="E19" s="7">
        <f t="shared" si="14"/>
        <v>53174.625</v>
      </c>
      <c r="F19" s="7">
        <f t="shared" si="14"/>
        <v>55274.625</v>
      </c>
      <c r="G19" s="7">
        <f t="shared" si="14"/>
        <v>57374.625</v>
      </c>
      <c r="H19" s="7">
        <f t="shared" si="14"/>
        <v>61574.625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279332.53749999998</v>
      </c>
      <c r="D20" s="9">
        <f t="shared" si="15"/>
        <v>343172.53749999998</v>
      </c>
      <c r="E20" s="9">
        <f t="shared" si="15"/>
        <v>375092.53749999998</v>
      </c>
      <c r="F20" s="9">
        <f t="shared" si="15"/>
        <v>391052.53749999998</v>
      </c>
      <c r="G20" s="9">
        <f t="shared" si="15"/>
        <v>407012.53749999998</v>
      </c>
      <c r="H20" s="9">
        <f t="shared" si="15"/>
        <v>438932.53749999998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G1000"/>
  <sheetViews>
    <sheetView workbookViewId="0">
      <selection sqref="A1:G1"/>
    </sheetView>
  </sheetViews>
  <sheetFormatPr baseColWidth="10" defaultColWidth="11.1640625" defaultRowHeight="15" customHeight="1" x14ac:dyDescent="0.2"/>
  <cols>
    <col min="1" max="1" width="30.6640625" customWidth="1"/>
    <col min="2" max="2" width="28.6640625" customWidth="1"/>
    <col min="3" max="3" width="16.5" customWidth="1"/>
    <col min="4" max="4" width="20.33203125" customWidth="1"/>
    <col min="5" max="5" width="21.6640625" customWidth="1"/>
    <col min="6" max="6" width="22.33203125" customWidth="1"/>
    <col min="7" max="7" width="23.6640625" customWidth="1"/>
    <col min="8" max="26" width="11.1640625" customWidth="1"/>
  </cols>
  <sheetData>
    <row r="1" spans="1:7" ht="15.75" customHeight="1" x14ac:dyDescent="0.2">
      <c r="A1" s="90" t="s">
        <v>313</v>
      </c>
      <c r="B1" s="74"/>
      <c r="C1" s="74"/>
      <c r="D1" s="74"/>
      <c r="E1" s="74"/>
      <c r="F1" s="74"/>
      <c r="G1" s="75"/>
    </row>
    <row r="2" spans="1:7" ht="46.5" customHeight="1" x14ac:dyDescent="0.2">
      <c r="A2" s="91" t="s">
        <v>314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spans="1:7" ht="15.75" customHeight="1" x14ac:dyDescent="0.2">
      <c r="A4" s="92" t="s">
        <v>11</v>
      </c>
      <c r="B4" s="3" t="s">
        <v>12</v>
      </c>
      <c r="C4" s="4">
        <v>113700</v>
      </c>
      <c r="D4" s="4">
        <f t="shared" ref="D4:G4" si="0">C4</f>
        <v>113700</v>
      </c>
      <c r="E4" s="4">
        <f t="shared" si="0"/>
        <v>113700</v>
      </c>
      <c r="F4" s="4">
        <f t="shared" si="0"/>
        <v>113700</v>
      </c>
      <c r="G4" s="4">
        <f t="shared" si="0"/>
        <v>113700</v>
      </c>
    </row>
    <row r="5" spans="1:7" ht="15.75" customHeight="1" x14ac:dyDescent="0.2">
      <c r="A5" s="93"/>
      <c r="B5" s="3" t="s">
        <v>13</v>
      </c>
      <c r="C5" s="4">
        <v>20000</v>
      </c>
      <c r="D5" s="4">
        <v>17000</v>
      </c>
      <c r="E5" s="4">
        <v>14000</v>
      </c>
      <c r="F5" s="4">
        <v>11000</v>
      </c>
      <c r="G5" s="4">
        <v>8000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178030</v>
      </c>
      <c r="D6" s="7">
        <f t="shared" si="1"/>
        <v>183730</v>
      </c>
      <c r="E6" s="7">
        <f t="shared" si="1"/>
        <v>189430</v>
      </c>
      <c r="F6" s="7">
        <f t="shared" si="1"/>
        <v>195130</v>
      </c>
      <c r="G6" s="7">
        <f t="shared" si="1"/>
        <v>200830</v>
      </c>
    </row>
    <row r="7" spans="1:7" ht="15.75" customHeight="1" x14ac:dyDescent="0.2">
      <c r="A7" s="94"/>
      <c r="B7" s="6" t="s">
        <v>15</v>
      </c>
      <c r="C7" s="7">
        <f t="shared" ref="C7:G7" si="2">(C4-C5)</f>
        <v>93700</v>
      </c>
      <c r="D7" s="7">
        <f t="shared" si="2"/>
        <v>96700</v>
      </c>
      <c r="E7" s="7">
        <f t="shared" si="2"/>
        <v>99700</v>
      </c>
      <c r="F7" s="7">
        <f t="shared" si="2"/>
        <v>102700</v>
      </c>
      <c r="G7" s="7">
        <f t="shared" si="2"/>
        <v>105700</v>
      </c>
    </row>
    <row r="8" spans="1:7" ht="15.75" customHeight="1" x14ac:dyDescent="0.2">
      <c r="A8" s="76" t="s">
        <v>19</v>
      </c>
      <c r="B8" s="75"/>
      <c r="C8" s="9">
        <f t="shared" ref="C8:G8" si="3">SUM(C6)</f>
        <v>178030</v>
      </c>
      <c r="D8" s="9">
        <f t="shared" si="3"/>
        <v>183730</v>
      </c>
      <c r="E8" s="9">
        <f t="shared" si="3"/>
        <v>189430</v>
      </c>
      <c r="F8" s="9">
        <f t="shared" si="3"/>
        <v>195130</v>
      </c>
      <c r="G8" s="9">
        <f t="shared" si="3"/>
        <v>200830</v>
      </c>
    </row>
    <row r="9" spans="1:7" ht="15.75" customHeight="1" x14ac:dyDescent="0.2">
      <c r="A9" s="77" t="s">
        <v>20</v>
      </c>
      <c r="B9" s="78"/>
      <c r="C9" s="83" t="s">
        <v>21</v>
      </c>
      <c r="D9" s="75"/>
      <c r="E9" s="10">
        <v>10000</v>
      </c>
      <c r="F9" s="84"/>
      <c r="G9" s="78"/>
    </row>
    <row r="10" spans="1:7" ht="15.75" customHeight="1" x14ac:dyDescent="0.2">
      <c r="A10" s="79"/>
      <c r="B10" s="80"/>
      <c r="C10" s="83" t="s">
        <v>22</v>
      </c>
      <c r="D10" s="75"/>
      <c r="E10" s="10">
        <v>5000</v>
      </c>
      <c r="F10" s="79"/>
      <c r="G10" s="80"/>
    </row>
    <row r="11" spans="1:7" ht="15.75" customHeight="1" x14ac:dyDescent="0.2">
      <c r="A11" s="81"/>
      <c r="B11" s="82"/>
      <c r="C11" s="88" t="s">
        <v>23</v>
      </c>
      <c r="D11" s="75"/>
      <c r="E11" s="10">
        <v>5000</v>
      </c>
      <c r="F11" s="79"/>
      <c r="G11" s="80"/>
    </row>
    <row r="12" spans="1:7" ht="15.75" customHeight="1" x14ac:dyDescent="0.2">
      <c r="A12" s="89" t="s">
        <v>24</v>
      </c>
      <c r="B12" s="78"/>
      <c r="C12" s="76" t="s">
        <v>25</v>
      </c>
      <c r="D12" s="75"/>
      <c r="E12" s="3">
        <v>18500</v>
      </c>
      <c r="F12" s="79"/>
      <c r="G12" s="80"/>
    </row>
    <row r="13" spans="1:7" ht="15.75" customHeight="1" x14ac:dyDescent="0.2">
      <c r="A13" s="81"/>
      <c r="B13" s="82"/>
      <c r="C13" s="76" t="s">
        <v>26</v>
      </c>
      <c r="D13" s="75"/>
      <c r="E13" s="3">
        <v>9750</v>
      </c>
      <c r="F13" s="81"/>
      <c r="G13" s="82"/>
    </row>
    <row r="14" spans="1:7" ht="15.75" customHeight="1" x14ac:dyDescent="0.2">
      <c r="A14" s="73" t="s">
        <v>27</v>
      </c>
      <c r="B14" s="74"/>
      <c r="C14" s="74"/>
      <c r="D14" s="74"/>
      <c r="E14" s="74"/>
      <c r="F14" s="74"/>
      <c r="G14" s="75"/>
    </row>
    <row r="15" spans="1:7" ht="15.75" customHeight="1" x14ac:dyDescent="0.2">
      <c r="A15" s="73" t="s">
        <v>28</v>
      </c>
      <c r="B15" s="74"/>
      <c r="C15" s="74"/>
      <c r="D15" s="74"/>
      <c r="E15" s="74"/>
      <c r="F15" s="74"/>
      <c r="G15" s="75"/>
    </row>
    <row r="16" spans="1:7" ht="15.75" customHeight="1" x14ac:dyDescent="0.2">
      <c r="A16" s="95" t="s">
        <v>29</v>
      </c>
      <c r="B16" s="74"/>
      <c r="C16" s="74"/>
      <c r="D16" s="74"/>
      <c r="E16" s="74"/>
      <c r="F16" s="74"/>
      <c r="G16" s="75"/>
    </row>
    <row r="17" spans="1:7" ht="15.75" customHeight="1" x14ac:dyDescent="0.2">
      <c r="A17" s="95" t="s">
        <v>30</v>
      </c>
      <c r="B17" s="74"/>
      <c r="C17" s="74"/>
      <c r="D17" s="74"/>
      <c r="E17" s="74"/>
      <c r="F17" s="74"/>
      <c r="G17" s="75"/>
    </row>
    <row r="18" spans="1:7" ht="25.5" customHeight="1" x14ac:dyDescent="0.2">
      <c r="C18" s="8"/>
    </row>
    <row r="19" spans="1:7" ht="15.75" customHeight="1" x14ac:dyDescent="0.2"/>
    <row r="20" spans="1:7" ht="15.75" customHeight="1" x14ac:dyDescent="0.2"/>
    <row r="21" spans="1:7" ht="15.75" customHeight="1" x14ac:dyDescent="0.2"/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A14:G14"/>
    <mergeCell ref="A15:G15"/>
    <mergeCell ref="A16:G16"/>
    <mergeCell ref="A17:G17"/>
    <mergeCell ref="A1:G1"/>
    <mergeCell ref="A2:G2"/>
    <mergeCell ref="A4:A7"/>
    <mergeCell ref="A8:B8"/>
    <mergeCell ref="A9:B11"/>
    <mergeCell ref="C9:D9"/>
    <mergeCell ref="F9:G13"/>
    <mergeCell ref="C10:D10"/>
    <mergeCell ref="C11:D11"/>
    <mergeCell ref="A12:B13"/>
    <mergeCell ref="C12:D12"/>
    <mergeCell ref="C13:D13"/>
  </mergeCells>
  <pageMargins left="0.7" right="0.7" top="0.75" bottom="0.75" header="0" footer="0"/>
  <pageSetup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G1004"/>
  <sheetViews>
    <sheetView workbookViewId="0">
      <selection activeCell="C16" sqref="C16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0.6640625" customWidth="1"/>
    <col min="4" max="4" width="18.6640625" customWidth="1"/>
    <col min="5" max="5" width="15.6640625" customWidth="1"/>
    <col min="6" max="7" width="23.1640625" customWidth="1"/>
    <col min="8" max="26" width="11.1640625" customWidth="1"/>
  </cols>
  <sheetData>
    <row r="1" spans="1:7" ht="15.75" customHeight="1" x14ac:dyDescent="0.2">
      <c r="A1" s="158" t="s">
        <v>315</v>
      </c>
      <c r="B1" s="159"/>
      <c r="C1" s="159"/>
      <c r="D1" s="159"/>
      <c r="E1" s="159"/>
      <c r="F1" s="159"/>
      <c r="G1" s="159"/>
    </row>
    <row r="2" spans="1:7" ht="38.25" customHeight="1" x14ac:dyDescent="0.2">
      <c r="A2" s="160" t="s">
        <v>316</v>
      </c>
      <c r="B2" s="161"/>
      <c r="C2" s="161"/>
      <c r="D2" s="161"/>
      <c r="E2" s="161"/>
      <c r="F2" s="161"/>
      <c r="G2" s="162"/>
    </row>
    <row r="3" spans="1:7" ht="26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317</v>
      </c>
    </row>
    <row r="4" spans="1:7" ht="15.75" customHeight="1" x14ac:dyDescent="0.2">
      <c r="A4" s="92" t="s">
        <v>11</v>
      </c>
      <c r="B4" s="3" t="s">
        <v>12</v>
      </c>
      <c r="C4" s="16">
        <v>223700</v>
      </c>
      <c r="D4" s="16">
        <f t="shared" ref="D4:G4" si="0">C4</f>
        <v>223700</v>
      </c>
      <c r="E4" s="16">
        <f t="shared" si="0"/>
        <v>223700</v>
      </c>
      <c r="F4" s="16">
        <f t="shared" si="0"/>
        <v>223700</v>
      </c>
      <c r="G4" s="16">
        <f t="shared" si="0"/>
        <v>223700</v>
      </c>
    </row>
    <row r="5" spans="1:7" ht="15.75" customHeight="1" x14ac:dyDescent="0.2">
      <c r="A5" s="93"/>
      <c r="B5" s="3" t="s">
        <v>13</v>
      </c>
      <c r="C5" s="17">
        <v>24000</v>
      </c>
      <c r="D5" s="17">
        <v>17000</v>
      </c>
      <c r="E5" s="17">
        <v>13000</v>
      </c>
      <c r="F5" s="17">
        <v>9000</v>
      </c>
      <c r="G5" s="17">
        <v>5000</v>
      </c>
    </row>
    <row r="6" spans="1:7" ht="15.75" customHeight="1" x14ac:dyDescent="0.2">
      <c r="A6" s="93"/>
      <c r="B6" s="6" t="s">
        <v>14</v>
      </c>
      <c r="C6" s="7">
        <f t="shared" ref="C6:F6" si="1">(C4-C5)*2*0.95</f>
        <v>379430</v>
      </c>
      <c r="D6" s="7">
        <f t="shared" si="1"/>
        <v>392730</v>
      </c>
      <c r="E6" s="7">
        <f t="shared" si="1"/>
        <v>400330</v>
      </c>
      <c r="F6" s="7">
        <f t="shared" si="1"/>
        <v>407930</v>
      </c>
      <c r="G6" s="7">
        <f t="shared" ref="G6" si="2">(G4-G5)*2*0.95</f>
        <v>415530</v>
      </c>
    </row>
    <row r="7" spans="1:7" ht="15.75" customHeight="1" x14ac:dyDescent="0.2">
      <c r="A7" s="94"/>
      <c r="B7" s="6" t="s">
        <v>15</v>
      </c>
      <c r="C7" s="7">
        <f t="shared" ref="C7:F7" si="3">(C4-C5)</f>
        <v>199700</v>
      </c>
      <c r="D7" s="7">
        <f t="shared" si="3"/>
        <v>206700</v>
      </c>
      <c r="E7" s="7">
        <f t="shared" si="3"/>
        <v>210700</v>
      </c>
      <c r="F7" s="7">
        <f t="shared" si="3"/>
        <v>214700</v>
      </c>
      <c r="G7" s="7">
        <f t="shared" ref="G7" si="4">(G4-G5)</f>
        <v>218700</v>
      </c>
    </row>
    <row r="8" spans="1:7" ht="15.75" customHeight="1" x14ac:dyDescent="0.2">
      <c r="A8" s="92" t="s">
        <v>16</v>
      </c>
      <c r="B8" s="3" t="s">
        <v>12</v>
      </c>
      <c r="C8" s="4">
        <v>233150</v>
      </c>
      <c r="D8" s="4">
        <f t="shared" ref="D8:G8" si="5">C8</f>
        <v>233150</v>
      </c>
      <c r="E8" s="4">
        <f t="shared" si="5"/>
        <v>233150</v>
      </c>
      <c r="F8" s="4">
        <f t="shared" si="5"/>
        <v>233150</v>
      </c>
      <c r="G8" s="4">
        <f t="shared" si="5"/>
        <v>233150</v>
      </c>
    </row>
    <row r="9" spans="1:7" ht="15.75" customHeight="1" x14ac:dyDescent="0.2">
      <c r="A9" s="93"/>
      <c r="B9" s="3" t="s">
        <v>13</v>
      </c>
      <c r="C9" s="4">
        <f t="shared" ref="C9:F9" si="6">C5</f>
        <v>24000</v>
      </c>
      <c r="D9" s="4">
        <f t="shared" si="6"/>
        <v>17000</v>
      </c>
      <c r="E9" s="4">
        <f t="shared" si="6"/>
        <v>13000</v>
      </c>
      <c r="F9" s="4">
        <f t="shared" si="6"/>
        <v>9000</v>
      </c>
      <c r="G9" s="4">
        <f t="shared" ref="G9" si="7">G5</f>
        <v>5000</v>
      </c>
    </row>
    <row r="10" spans="1:7" ht="15.75" customHeight="1" x14ac:dyDescent="0.2">
      <c r="A10" s="93"/>
      <c r="B10" s="6" t="s">
        <v>14</v>
      </c>
      <c r="C10" s="7">
        <f t="shared" ref="C10:F10" si="8">(C8-C9)*2*0.95</f>
        <v>397385</v>
      </c>
      <c r="D10" s="7">
        <f t="shared" si="8"/>
        <v>410685</v>
      </c>
      <c r="E10" s="7">
        <f t="shared" si="8"/>
        <v>418285</v>
      </c>
      <c r="F10" s="7">
        <f t="shared" si="8"/>
        <v>425885</v>
      </c>
      <c r="G10" s="7">
        <f t="shared" ref="G10" si="9">(G8-G9)*2*0.95</f>
        <v>433485</v>
      </c>
    </row>
    <row r="11" spans="1:7" ht="15.75" customHeight="1" x14ac:dyDescent="0.2">
      <c r="A11" s="94"/>
      <c r="B11" s="6" t="s">
        <v>15</v>
      </c>
      <c r="C11" s="7">
        <f t="shared" ref="C11:F11" si="10">(C8-C9)</f>
        <v>209150</v>
      </c>
      <c r="D11" s="7">
        <f t="shared" si="10"/>
        <v>216150</v>
      </c>
      <c r="E11" s="7">
        <f t="shared" si="10"/>
        <v>220150</v>
      </c>
      <c r="F11" s="7">
        <f t="shared" si="10"/>
        <v>224150</v>
      </c>
      <c r="G11" s="7">
        <f t="shared" ref="G11" si="11">(G8-G9)</f>
        <v>228150</v>
      </c>
    </row>
    <row r="12" spans="1:7" ht="15.75" customHeight="1" x14ac:dyDescent="0.2">
      <c r="A12" s="92" t="s">
        <v>278</v>
      </c>
      <c r="B12" s="3" t="s">
        <v>12</v>
      </c>
      <c r="C12" s="4">
        <v>244808</v>
      </c>
      <c r="D12" s="4">
        <f t="shared" ref="D12" si="12">C12</f>
        <v>244808</v>
      </c>
      <c r="E12" s="4">
        <f t="shared" ref="E12" si="13">D12</f>
        <v>244808</v>
      </c>
      <c r="F12" s="4">
        <f t="shared" ref="F12" si="14">E12</f>
        <v>244808</v>
      </c>
      <c r="G12" s="4">
        <f t="shared" ref="G12" si="15">F12</f>
        <v>244808</v>
      </c>
    </row>
    <row r="13" spans="1:7" ht="15.75" customHeight="1" x14ac:dyDescent="0.2">
      <c r="A13" s="93"/>
      <c r="B13" s="3" t="s">
        <v>13</v>
      </c>
      <c r="C13" s="4">
        <f t="shared" ref="C13:G13" si="16">C9</f>
        <v>24000</v>
      </c>
      <c r="D13" s="4">
        <f t="shared" si="16"/>
        <v>17000</v>
      </c>
      <c r="E13" s="4">
        <f t="shared" si="16"/>
        <v>13000</v>
      </c>
      <c r="F13" s="4">
        <f t="shared" si="16"/>
        <v>9000</v>
      </c>
      <c r="G13" s="4">
        <f t="shared" si="16"/>
        <v>5000</v>
      </c>
    </row>
    <row r="14" spans="1:7" ht="15.75" customHeight="1" x14ac:dyDescent="0.2">
      <c r="A14" s="93"/>
      <c r="B14" s="6" t="s">
        <v>14</v>
      </c>
      <c r="C14" s="7">
        <f t="shared" ref="C14:G14" si="17">(C12-C13)*2*0.95</f>
        <v>419535.19999999995</v>
      </c>
      <c r="D14" s="7">
        <f t="shared" si="17"/>
        <v>432835.19999999995</v>
      </c>
      <c r="E14" s="7">
        <f t="shared" si="17"/>
        <v>440435.19999999995</v>
      </c>
      <c r="F14" s="7">
        <f t="shared" si="17"/>
        <v>448035.19999999995</v>
      </c>
      <c r="G14" s="7">
        <f t="shared" si="17"/>
        <v>455635.19999999995</v>
      </c>
    </row>
    <row r="15" spans="1:7" ht="15.75" customHeight="1" x14ac:dyDescent="0.2">
      <c r="A15" s="94"/>
      <c r="B15" s="6" t="s">
        <v>15</v>
      </c>
      <c r="C15" s="7">
        <f t="shared" ref="C15:G15" si="18">(C12-C13)</f>
        <v>220808</v>
      </c>
      <c r="D15" s="7">
        <f t="shared" si="18"/>
        <v>227808</v>
      </c>
      <c r="E15" s="7">
        <f t="shared" si="18"/>
        <v>231808</v>
      </c>
      <c r="F15" s="7">
        <f t="shared" si="18"/>
        <v>235808</v>
      </c>
      <c r="G15" s="7">
        <f t="shared" si="18"/>
        <v>239808</v>
      </c>
    </row>
    <row r="16" spans="1:7" ht="15.75" customHeight="1" x14ac:dyDescent="0.2">
      <c r="A16" s="76" t="s">
        <v>19</v>
      </c>
      <c r="B16" s="75"/>
      <c r="C16" s="9">
        <f>SUM(C6,C10,C14)</f>
        <v>1196350.2</v>
      </c>
      <c r="D16" s="9">
        <f t="shared" ref="D16:G16" si="19">SUM(D6,D10,D14)</f>
        <v>1236250.2</v>
      </c>
      <c r="E16" s="9">
        <f t="shared" si="19"/>
        <v>1259050.2</v>
      </c>
      <c r="F16" s="9">
        <f t="shared" si="19"/>
        <v>1281850.2</v>
      </c>
      <c r="G16" s="9">
        <f t="shared" si="19"/>
        <v>1304650.2</v>
      </c>
    </row>
    <row r="17" spans="1:7" ht="15.75" customHeight="1" x14ac:dyDescent="0.2">
      <c r="A17" s="77" t="s">
        <v>20</v>
      </c>
      <c r="B17" s="78"/>
      <c r="C17" s="83" t="s">
        <v>21</v>
      </c>
      <c r="D17" s="75"/>
      <c r="E17" s="44">
        <v>10000</v>
      </c>
      <c r="F17" s="84"/>
      <c r="G17" s="163"/>
    </row>
    <row r="18" spans="1:7" ht="15.75" customHeight="1" x14ac:dyDescent="0.2">
      <c r="A18" s="79"/>
      <c r="B18" s="80"/>
      <c r="C18" s="83" t="s">
        <v>22</v>
      </c>
      <c r="D18" s="75"/>
      <c r="E18" s="44">
        <v>5000</v>
      </c>
      <c r="F18" s="164"/>
      <c r="G18" s="165"/>
    </row>
    <row r="19" spans="1:7" ht="15.75" customHeight="1" x14ac:dyDescent="0.2">
      <c r="A19" s="81"/>
      <c r="B19" s="82"/>
      <c r="C19" s="88" t="s">
        <v>23</v>
      </c>
      <c r="D19" s="75"/>
      <c r="E19" s="10">
        <v>5000</v>
      </c>
      <c r="F19" s="164"/>
      <c r="G19" s="165"/>
    </row>
    <row r="20" spans="1:7" ht="15.75" customHeight="1" x14ac:dyDescent="0.2">
      <c r="A20" s="89" t="s">
        <v>24</v>
      </c>
      <c r="B20" s="78"/>
      <c r="C20" s="76" t="s">
        <v>25</v>
      </c>
      <c r="D20" s="75"/>
      <c r="E20" s="3">
        <v>18500</v>
      </c>
      <c r="F20" s="164"/>
      <c r="G20" s="165"/>
    </row>
    <row r="21" spans="1:7" ht="15.75" customHeight="1" x14ac:dyDescent="0.2">
      <c r="A21" s="81"/>
      <c r="B21" s="82"/>
      <c r="C21" s="76" t="s">
        <v>26</v>
      </c>
      <c r="D21" s="75"/>
      <c r="E21" s="3">
        <v>9750</v>
      </c>
      <c r="F21" s="166"/>
      <c r="G21" s="167"/>
    </row>
    <row r="22" spans="1:7" ht="15.75" customHeight="1" x14ac:dyDescent="0.2">
      <c r="A22" s="73" t="s">
        <v>27</v>
      </c>
      <c r="B22" s="107"/>
      <c r="C22" s="107"/>
      <c r="D22" s="107"/>
      <c r="E22" s="107"/>
      <c r="F22" s="107"/>
      <c r="G22" s="108"/>
    </row>
    <row r="23" spans="1:7" ht="15.75" customHeight="1" x14ac:dyDescent="0.2">
      <c r="A23" s="73" t="s">
        <v>28</v>
      </c>
      <c r="B23" s="107"/>
      <c r="C23" s="107"/>
      <c r="D23" s="107"/>
      <c r="E23" s="107"/>
      <c r="F23" s="107"/>
      <c r="G23" s="108"/>
    </row>
    <row r="24" spans="1:7" ht="15.75" customHeight="1" x14ac:dyDescent="0.2">
      <c r="A24" s="73" t="s">
        <v>29</v>
      </c>
      <c r="B24" s="107"/>
      <c r="C24" s="107"/>
      <c r="D24" s="107"/>
      <c r="E24" s="107"/>
      <c r="F24" s="107"/>
      <c r="G24" s="108"/>
    </row>
    <row r="25" spans="1:7" ht="15.75" customHeight="1" x14ac:dyDescent="0.2">
      <c r="A25" s="73" t="s">
        <v>30</v>
      </c>
      <c r="B25" s="107"/>
      <c r="C25" s="107"/>
      <c r="D25" s="107"/>
      <c r="E25" s="107"/>
      <c r="F25" s="107"/>
      <c r="G25" s="108"/>
    </row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mergeCells count="18">
    <mergeCell ref="A22:G22"/>
    <mergeCell ref="A23:G23"/>
    <mergeCell ref="A24:G24"/>
    <mergeCell ref="A25:G25"/>
    <mergeCell ref="F17:G21"/>
    <mergeCell ref="A1:G1"/>
    <mergeCell ref="A2:G2"/>
    <mergeCell ref="A12:A15"/>
    <mergeCell ref="A20:B21"/>
    <mergeCell ref="C20:D20"/>
    <mergeCell ref="C21:D21"/>
    <mergeCell ref="A4:A7"/>
    <mergeCell ref="A8:A11"/>
    <mergeCell ref="A16:B16"/>
    <mergeCell ref="A17:B19"/>
    <mergeCell ref="C17:D17"/>
    <mergeCell ref="C18:D18"/>
    <mergeCell ref="C19:D19"/>
  </mergeCells>
  <pageMargins left="0.7" right="0.7" top="0.75" bottom="0.75" header="0" footer="0"/>
  <pageSetup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1000"/>
  <sheetViews>
    <sheetView workbookViewId="0">
      <selection activeCell="K25" sqref="K25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90" t="s">
        <v>318</v>
      </c>
      <c r="B1" s="74"/>
      <c r="C1" s="74"/>
      <c r="D1" s="74"/>
      <c r="E1" s="74"/>
      <c r="F1" s="74"/>
      <c r="G1" s="74"/>
      <c r="H1" s="75"/>
    </row>
    <row r="2" spans="1:8" ht="44.25" customHeight="1" x14ac:dyDescent="0.2">
      <c r="A2" s="91" t="s">
        <v>319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165</v>
      </c>
    </row>
    <row r="4" spans="1:8" ht="15.75" customHeight="1" x14ac:dyDescent="0.2">
      <c r="A4" s="92" t="s">
        <v>11</v>
      </c>
      <c r="B4" s="3" t="s">
        <v>12</v>
      </c>
      <c r="C4" s="16">
        <v>205700</v>
      </c>
      <c r="D4" s="16">
        <f t="shared" ref="D4:H4" si="0">C4</f>
        <v>205700</v>
      </c>
      <c r="E4" s="16">
        <f t="shared" si="0"/>
        <v>205700</v>
      </c>
      <c r="F4" s="16">
        <f t="shared" si="0"/>
        <v>205700</v>
      </c>
      <c r="G4" s="16">
        <f t="shared" si="0"/>
        <v>205700</v>
      </c>
      <c r="H4" s="16">
        <f t="shared" si="0"/>
        <v>205700</v>
      </c>
    </row>
    <row r="5" spans="1:8" ht="15.75" customHeight="1" x14ac:dyDescent="0.2">
      <c r="A5" s="93"/>
      <c r="B5" s="3" t="s">
        <v>13</v>
      </c>
      <c r="C5" s="5">
        <v>55000</v>
      </c>
      <c r="D5" s="5">
        <v>35000</v>
      </c>
      <c r="E5" s="5">
        <v>25000</v>
      </c>
      <c r="F5" s="5">
        <v>15000</v>
      </c>
      <c r="G5" s="5">
        <v>10000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286330</v>
      </c>
      <c r="D6" s="7">
        <f t="shared" si="1"/>
        <v>324330</v>
      </c>
      <c r="E6" s="7">
        <f t="shared" si="1"/>
        <v>343330</v>
      </c>
      <c r="F6" s="7">
        <f t="shared" si="1"/>
        <v>362330</v>
      </c>
      <c r="G6" s="7">
        <f t="shared" si="1"/>
        <v>371830</v>
      </c>
      <c r="H6" s="7">
        <f t="shared" si="1"/>
        <v>390830</v>
      </c>
    </row>
    <row r="7" spans="1:8" ht="15.75" customHeight="1" x14ac:dyDescent="0.2">
      <c r="A7" s="94"/>
      <c r="B7" s="6" t="s">
        <v>15</v>
      </c>
      <c r="C7" s="7">
        <f t="shared" ref="C7:H7" si="2">(C4-C5)</f>
        <v>150700</v>
      </c>
      <c r="D7" s="7">
        <f t="shared" si="2"/>
        <v>170700</v>
      </c>
      <c r="E7" s="7">
        <f t="shared" si="2"/>
        <v>180700</v>
      </c>
      <c r="F7" s="7">
        <f t="shared" si="2"/>
        <v>190700</v>
      </c>
      <c r="G7" s="7">
        <f t="shared" si="2"/>
        <v>195700</v>
      </c>
      <c r="H7" s="7">
        <f t="shared" si="2"/>
        <v>205700</v>
      </c>
    </row>
    <row r="8" spans="1:8" ht="15.75" customHeight="1" x14ac:dyDescent="0.2">
      <c r="A8" s="92" t="s">
        <v>16</v>
      </c>
      <c r="B8" s="3" t="s">
        <v>12</v>
      </c>
      <c r="C8" s="4">
        <v>214250</v>
      </c>
      <c r="D8" s="4">
        <f t="shared" ref="D8:H8" si="3">C8</f>
        <v>214250</v>
      </c>
      <c r="E8" s="4">
        <f t="shared" si="3"/>
        <v>214250</v>
      </c>
      <c r="F8" s="4">
        <f t="shared" si="3"/>
        <v>214250</v>
      </c>
      <c r="G8" s="4">
        <f t="shared" si="3"/>
        <v>214250</v>
      </c>
      <c r="H8" s="4">
        <f t="shared" si="3"/>
        <v>214250</v>
      </c>
    </row>
    <row r="9" spans="1:8" ht="15.75" customHeight="1" x14ac:dyDescent="0.2">
      <c r="A9" s="93"/>
      <c r="B9" s="3" t="s">
        <v>13</v>
      </c>
      <c r="C9" s="4">
        <f t="shared" ref="C9:H9" si="4">C5</f>
        <v>55000</v>
      </c>
      <c r="D9" s="4">
        <f t="shared" si="4"/>
        <v>35000</v>
      </c>
      <c r="E9" s="4">
        <f t="shared" si="4"/>
        <v>25000</v>
      </c>
      <c r="F9" s="4">
        <f t="shared" si="4"/>
        <v>15000</v>
      </c>
      <c r="G9" s="4">
        <f t="shared" si="4"/>
        <v>10000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302575</v>
      </c>
      <c r="D10" s="7">
        <f t="shared" si="5"/>
        <v>340575</v>
      </c>
      <c r="E10" s="7">
        <f t="shared" si="5"/>
        <v>359575</v>
      </c>
      <c r="F10" s="7">
        <f t="shared" si="5"/>
        <v>378575</v>
      </c>
      <c r="G10" s="7">
        <f t="shared" si="5"/>
        <v>388075</v>
      </c>
      <c r="H10" s="7">
        <f t="shared" si="5"/>
        <v>407075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159250</v>
      </c>
      <c r="D11" s="7">
        <f t="shared" si="6"/>
        <v>179250</v>
      </c>
      <c r="E11" s="7">
        <f t="shared" si="6"/>
        <v>189250</v>
      </c>
      <c r="F11" s="7">
        <f t="shared" si="6"/>
        <v>199250</v>
      </c>
      <c r="G11" s="7">
        <f t="shared" si="6"/>
        <v>204250</v>
      </c>
      <c r="H11" s="7">
        <f t="shared" si="6"/>
        <v>214250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224962.5</v>
      </c>
      <c r="D12" s="4">
        <f t="shared" ref="D12:H12" si="7">C12</f>
        <v>224962.5</v>
      </c>
      <c r="E12" s="4">
        <f t="shared" si="7"/>
        <v>224962.5</v>
      </c>
      <c r="F12" s="4">
        <f t="shared" si="7"/>
        <v>224962.5</v>
      </c>
      <c r="G12" s="4">
        <f t="shared" si="7"/>
        <v>224962.5</v>
      </c>
      <c r="H12" s="4">
        <f t="shared" si="7"/>
        <v>224962.5</v>
      </c>
    </row>
    <row r="13" spans="1:8" ht="15.75" customHeight="1" x14ac:dyDescent="0.2">
      <c r="A13" s="93"/>
      <c r="B13" s="3" t="s">
        <v>13</v>
      </c>
      <c r="C13" s="4">
        <f t="shared" ref="C13:H13" si="8">C5</f>
        <v>55000</v>
      </c>
      <c r="D13" s="4">
        <f t="shared" si="8"/>
        <v>35000</v>
      </c>
      <c r="E13" s="4">
        <f t="shared" si="8"/>
        <v>25000</v>
      </c>
      <c r="F13" s="4">
        <f t="shared" si="8"/>
        <v>15000</v>
      </c>
      <c r="G13" s="4">
        <f t="shared" si="8"/>
        <v>10000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322928.75</v>
      </c>
      <c r="D14" s="7">
        <f t="shared" si="9"/>
        <v>360928.75</v>
      </c>
      <c r="E14" s="7">
        <f t="shared" si="9"/>
        <v>379928.75</v>
      </c>
      <c r="F14" s="7">
        <f t="shared" si="9"/>
        <v>398928.75</v>
      </c>
      <c r="G14" s="7">
        <f t="shared" si="9"/>
        <v>408428.75</v>
      </c>
      <c r="H14" s="7">
        <f t="shared" si="9"/>
        <v>427428.75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169962.5</v>
      </c>
      <c r="D15" s="7">
        <f t="shared" si="10"/>
        <v>189962.5</v>
      </c>
      <c r="E15" s="7">
        <f t="shared" si="10"/>
        <v>199962.5</v>
      </c>
      <c r="F15" s="7">
        <f t="shared" si="10"/>
        <v>209962.5</v>
      </c>
      <c r="G15" s="7">
        <f t="shared" si="10"/>
        <v>214962.5</v>
      </c>
      <c r="H15" s="7">
        <f t="shared" si="10"/>
        <v>224962.5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236210.625</v>
      </c>
      <c r="D16" s="4">
        <f t="shared" ref="D16:H16" si="11">C16</f>
        <v>236210.625</v>
      </c>
      <c r="E16" s="4">
        <f t="shared" si="11"/>
        <v>236210.625</v>
      </c>
      <c r="F16" s="4">
        <f t="shared" si="11"/>
        <v>236210.625</v>
      </c>
      <c r="G16" s="4">
        <f t="shared" si="11"/>
        <v>236210.625</v>
      </c>
      <c r="H16" s="4">
        <f t="shared" si="11"/>
        <v>236210.625</v>
      </c>
    </row>
    <row r="17" spans="1:8" ht="15.75" customHeight="1" x14ac:dyDescent="0.2">
      <c r="A17" s="93"/>
      <c r="B17" s="3" t="s">
        <v>13</v>
      </c>
      <c r="C17" s="4">
        <f t="shared" ref="C17:H17" si="12">C9</f>
        <v>55000</v>
      </c>
      <c r="D17" s="4">
        <f t="shared" si="12"/>
        <v>35000</v>
      </c>
      <c r="E17" s="4">
        <f t="shared" si="12"/>
        <v>25000</v>
      </c>
      <c r="F17" s="4">
        <f t="shared" si="12"/>
        <v>15000</v>
      </c>
      <c r="G17" s="4">
        <f t="shared" si="12"/>
        <v>10000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344300.1875</v>
      </c>
      <c r="D18" s="7">
        <f t="shared" si="13"/>
        <v>382300.1875</v>
      </c>
      <c r="E18" s="7">
        <f t="shared" si="13"/>
        <v>401300.1875</v>
      </c>
      <c r="F18" s="7">
        <f t="shared" si="13"/>
        <v>420300.1875</v>
      </c>
      <c r="G18" s="7">
        <f t="shared" si="13"/>
        <v>429800.1875</v>
      </c>
      <c r="H18" s="7">
        <f t="shared" si="13"/>
        <v>448800.1875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181210.625</v>
      </c>
      <c r="D19" s="7">
        <f t="shared" si="14"/>
        <v>201210.625</v>
      </c>
      <c r="E19" s="7">
        <f t="shared" si="14"/>
        <v>211210.625</v>
      </c>
      <c r="F19" s="7">
        <f t="shared" si="14"/>
        <v>221210.625</v>
      </c>
      <c r="G19" s="7">
        <f t="shared" si="14"/>
        <v>226210.625</v>
      </c>
      <c r="H19" s="7">
        <f t="shared" si="14"/>
        <v>236210.625</v>
      </c>
    </row>
    <row r="20" spans="1:8" ht="15.75" customHeight="1" x14ac:dyDescent="0.2">
      <c r="A20" s="92" t="s">
        <v>320</v>
      </c>
      <c r="B20" s="3" t="s">
        <v>12</v>
      </c>
      <c r="C20" s="4">
        <f>C16*1.05</f>
        <v>248021.15625</v>
      </c>
      <c r="D20" s="4">
        <f t="shared" ref="D20:H20" si="15">C20</f>
        <v>248021.15625</v>
      </c>
      <c r="E20" s="4">
        <f t="shared" si="15"/>
        <v>248021.15625</v>
      </c>
      <c r="F20" s="4">
        <f t="shared" si="15"/>
        <v>248021.15625</v>
      </c>
      <c r="G20" s="4">
        <f t="shared" si="15"/>
        <v>248021.15625</v>
      </c>
      <c r="H20" s="4">
        <f t="shared" si="15"/>
        <v>248021.15625</v>
      </c>
    </row>
    <row r="21" spans="1:8" ht="15.75" customHeight="1" x14ac:dyDescent="0.2">
      <c r="A21" s="93"/>
      <c r="B21" s="3" t="s">
        <v>13</v>
      </c>
      <c r="C21" s="4">
        <f t="shared" ref="C21:H21" si="16">C13</f>
        <v>55000</v>
      </c>
      <c r="D21" s="4">
        <f t="shared" si="16"/>
        <v>35000</v>
      </c>
      <c r="E21" s="4">
        <f t="shared" si="16"/>
        <v>25000</v>
      </c>
      <c r="F21" s="4">
        <f t="shared" si="16"/>
        <v>15000</v>
      </c>
      <c r="G21" s="4">
        <f t="shared" si="16"/>
        <v>10000</v>
      </c>
      <c r="H21" s="4">
        <f t="shared" si="16"/>
        <v>0</v>
      </c>
    </row>
    <row r="22" spans="1:8" ht="15.75" customHeight="1" x14ac:dyDescent="0.2">
      <c r="A22" s="93"/>
      <c r="B22" s="6" t="s">
        <v>14</v>
      </c>
      <c r="C22" s="7">
        <f t="shared" ref="C22:H22" si="17">(C20-C21)*2*0.95</f>
        <v>366740.19687499997</v>
      </c>
      <c r="D22" s="7">
        <f t="shared" si="17"/>
        <v>404740.19687499997</v>
      </c>
      <c r="E22" s="7">
        <f t="shared" si="17"/>
        <v>423740.19687499997</v>
      </c>
      <c r="F22" s="7">
        <f t="shared" si="17"/>
        <v>442740.19687499997</v>
      </c>
      <c r="G22" s="7">
        <f t="shared" si="17"/>
        <v>452240.19687499997</v>
      </c>
      <c r="H22" s="7">
        <f t="shared" si="17"/>
        <v>471240.19687499997</v>
      </c>
    </row>
    <row r="23" spans="1:8" ht="15.75" customHeight="1" x14ac:dyDescent="0.2">
      <c r="A23" s="94"/>
      <c r="B23" s="6" t="s">
        <v>15</v>
      </c>
      <c r="C23" s="7">
        <f t="shared" ref="C23:H23" si="18">(C20-C21)</f>
        <v>193021.15625</v>
      </c>
      <c r="D23" s="7">
        <f t="shared" si="18"/>
        <v>213021.15625</v>
      </c>
      <c r="E23" s="7">
        <f t="shared" si="18"/>
        <v>223021.15625</v>
      </c>
      <c r="F23" s="7">
        <f t="shared" si="18"/>
        <v>233021.15625</v>
      </c>
      <c r="G23" s="7">
        <f t="shared" si="18"/>
        <v>238021.15625</v>
      </c>
      <c r="H23" s="7">
        <f t="shared" si="18"/>
        <v>248021.15625</v>
      </c>
    </row>
    <row r="24" spans="1:8" ht="15.75" customHeight="1" x14ac:dyDescent="0.2">
      <c r="A24" s="76" t="s">
        <v>19</v>
      </c>
      <c r="B24" s="75"/>
      <c r="C24" s="9">
        <f>SUM(C6,C10,C14,C18,C22)</f>
        <v>1622874.1343749999</v>
      </c>
      <c r="D24" s="9">
        <f t="shared" ref="D24:H24" si="19">SUM(D6,D10,D14,D18,D22)</f>
        <v>1812874.1343749999</v>
      </c>
      <c r="E24" s="9">
        <f t="shared" si="19"/>
        <v>1907874.1343749999</v>
      </c>
      <c r="F24" s="9">
        <f t="shared" si="19"/>
        <v>2002874.1343749999</v>
      </c>
      <c r="G24" s="9">
        <f t="shared" si="19"/>
        <v>2050374.1343749999</v>
      </c>
      <c r="H24" s="9">
        <f t="shared" si="19"/>
        <v>2145374.1343749999</v>
      </c>
    </row>
    <row r="25" spans="1:8" ht="15.75" customHeight="1" x14ac:dyDescent="0.2">
      <c r="A25" s="77" t="s">
        <v>20</v>
      </c>
      <c r="B25" s="78"/>
      <c r="C25" s="83" t="s">
        <v>21</v>
      </c>
      <c r="D25" s="75"/>
      <c r="E25" s="44">
        <v>10000</v>
      </c>
      <c r="F25" s="84"/>
      <c r="G25" s="85"/>
      <c r="H25" s="78"/>
    </row>
    <row r="26" spans="1:8" ht="15.75" customHeight="1" x14ac:dyDescent="0.2">
      <c r="A26" s="79"/>
      <c r="B26" s="80"/>
      <c r="C26" s="83" t="s">
        <v>22</v>
      </c>
      <c r="D26" s="75"/>
      <c r="E26" s="44">
        <v>5000</v>
      </c>
      <c r="F26" s="79"/>
      <c r="G26" s="86"/>
      <c r="H26" s="80"/>
    </row>
    <row r="27" spans="1:8" ht="15.75" customHeight="1" x14ac:dyDescent="0.2">
      <c r="A27" s="81"/>
      <c r="B27" s="82"/>
      <c r="C27" s="88" t="s">
        <v>23</v>
      </c>
      <c r="D27" s="75"/>
      <c r="E27" s="10">
        <v>3000</v>
      </c>
      <c r="F27" s="79"/>
      <c r="G27" s="86"/>
      <c r="H27" s="80"/>
    </row>
    <row r="28" spans="1:8" ht="15.75" customHeight="1" x14ac:dyDescent="0.2">
      <c r="A28" s="89" t="s">
        <v>24</v>
      </c>
      <c r="B28" s="78"/>
      <c r="C28" s="76" t="s">
        <v>25</v>
      </c>
      <c r="D28" s="75"/>
      <c r="E28" s="3">
        <v>18500</v>
      </c>
      <c r="F28" s="79"/>
      <c r="G28" s="86"/>
      <c r="H28" s="80"/>
    </row>
    <row r="29" spans="1:8" ht="15.75" customHeight="1" x14ac:dyDescent="0.2">
      <c r="A29" s="81"/>
      <c r="B29" s="82"/>
      <c r="C29" s="76" t="s">
        <v>26</v>
      </c>
      <c r="D29" s="75"/>
      <c r="E29" s="3">
        <v>9750</v>
      </c>
      <c r="F29" s="81"/>
      <c r="G29" s="87"/>
      <c r="H29" s="82"/>
    </row>
    <row r="30" spans="1:8" ht="15.75" customHeight="1" x14ac:dyDescent="0.2">
      <c r="A30" s="73" t="s">
        <v>27</v>
      </c>
      <c r="B30" s="74"/>
      <c r="C30" s="74"/>
      <c r="D30" s="74"/>
      <c r="E30" s="74"/>
      <c r="F30" s="74"/>
      <c r="G30" s="74"/>
      <c r="H30" s="75"/>
    </row>
    <row r="31" spans="1:8" ht="15.75" customHeight="1" x14ac:dyDescent="0.2">
      <c r="A31" s="73" t="s">
        <v>28</v>
      </c>
      <c r="B31" s="74"/>
      <c r="C31" s="74"/>
      <c r="D31" s="74"/>
      <c r="E31" s="74"/>
      <c r="F31" s="74"/>
      <c r="G31" s="74"/>
      <c r="H31" s="75"/>
    </row>
    <row r="32" spans="1:8" ht="15.75" customHeight="1" x14ac:dyDescent="0.2">
      <c r="A32" s="95" t="s">
        <v>29</v>
      </c>
      <c r="B32" s="74"/>
      <c r="C32" s="74"/>
      <c r="D32" s="74"/>
      <c r="E32" s="74"/>
      <c r="F32" s="74"/>
      <c r="G32" s="74"/>
      <c r="H32" s="75"/>
    </row>
    <row r="33" spans="1:8" ht="15.75" customHeight="1" x14ac:dyDescent="0.2">
      <c r="A33" s="168" t="s">
        <v>30</v>
      </c>
      <c r="B33" s="74"/>
      <c r="C33" s="74"/>
      <c r="D33" s="74"/>
      <c r="E33" s="74"/>
      <c r="F33" s="74"/>
      <c r="G33" s="74"/>
      <c r="H33" s="75"/>
    </row>
    <row r="34" spans="1:8" ht="15.75" customHeight="1" x14ac:dyDescent="0.2"/>
    <row r="35" spans="1:8" ht="15.75" customHeight="1" x14ac:dyDescent="0.2"/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A1:H1"/>
    <mergeCell ref="A2:H2"/>
    <mergeCell ref="A4:A7"/>
    <mergeCell ref="A8:A11"/>
    <mergeCell ref="A12:A15"/>
    <mergeCell ref="A16:A19"/>
    <mergeCell ref="A20:A23"/>
    <mergeCell ref="C28:D28"/>
    <mergeCell ref="C29:D29"/>
    <mergeCell ref="A30:H30"/>
    <mergeCell ref="A31:H31"/>
    <mergeCell ref="A32:H32"/>
    <mergeCell ref="A33:H33"/>
    <mergeCell ref="A24:B24"/>
    <mergeCell ref="A25:B27"/>
    <mergeCell ref="C25:D25"/>
    <mergeCell ref="F25:H29"/>
    <mergeCell ref="C26:D26"/>
    <mergeCell ref="C27:D27"/>
    <mergeCell ref="A28:B29"/>
  </mergeCells>
  <pageMargins left="0.7" right="0.7" top="0.75" bottom="0.75" header="0" footer="0"/>
  <pageSetup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1000"/>
  <sheetViews>
    <sheetView workbookViewId="0">
      <selection activeCell="L16" sqref="L16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8" width="10.6640625" customWidth="1"/>
    <col min="9" max="26" width="11.1640625" customWidth="1"/>
  </cols>
  <sheetData>
    <row r="1" spans="1:8" ht="15.75" customHeight="1" x14ac:dyDescent="0.2">
      <c r="A1" s="90" t="s">
        <v>321</v>
      </c>
      <c r="B1" s="74"/>
      <c r="C1" s="74"/>
      <c r="D1" s="74"/>
      <c r="E1" s="74"/>
      <c r="F1" s="74"/>
      <c r="G1" s="74"/>
      <c r="H1" s="75"/>
    </row>
    <row r="2" spans="1:8" ht="44.25" customHeight="1" x14ac:dyDescent="0.2">
      <c r="A2" s="91" t="s">
        <v>322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143</v>
      </c>
      <c r="D3" s="2" t="s">
        <v>144</v>
      </c>
      <c r="E3" s="2" t="s">
        <v>145</v>
      </c>
      <c r="F3" s="2" t="s">
        <v>146</v>
      </c>
      <c r="G3" s="2" t="s">
        <v>147</v>
      </c>
      <c r="H3" s="2" t="s">
        <v>165</v>
      </c>
    </row>
    <row r="4" spans="1:8" ht="15.75" customHeight="1" x14ac:dyDescent="0.2">
      <c r="A4" s="92" t="s">
        <v>11</v>
      </c>
      <c r="B4" s="3" t="s">
        <v>12</v>
      </c>
      <c r="C4" s="16">
        <v>205700</v>
      </c>
      <c r="D4" s="16">
        <f t="shared" ref="D4:H4" si="0">C4</f>
        <v>205700</v>
      </c>
      <c r="E4" s="16">
        <f t="shared" si="0"/>
        <v>205700</v>
      </c>
      <c r="F4" s="16">
        <f t="shared" si="0"/>
        <v>205700</v>
      </c>
      <c r="G4" s="16">
        <f t="shared" si="0"/>
        <v>205700</v>
      </c>
      <c r="H4" s="16">
        <f t="shared" si="0"/>
        <v>205700</v>
      </c>
    </row>
    <row r="5" spans="1:8" ht="15.75" customHeight="1" x14ac:dyDescent="0.2">
      <c r="A5" s="93"/>
      <c r="B5" s="3" t="s">
        <v>13</v>
      </c>
      <c r="C5" s="5">
        <v>55000</v>
      </c>
      <c r="D5" s="5">
        <v>35000</v>
      </c>
      <c r="E5" s="5">
        <v>25000</v>
      </c>
      <c r="F5" s="5">
        <v>15000</v>
      </c>
      <c r="G5" s="5">
        <v>10000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286330</v>
      </c>
      <c r="D6" s="7">
        <f t="shared" si="1"/>
        <v>324330</v>
      </c>
      <c r="E6" s="7">
        <f t="shared" si="1"/>
        <v>343330</v>
      </c>
      <c r="F6" s="7">
        <f t="shared" si="1"/>
        <v>362330</v>
      </c>
      <c r="G6" s="7">
        <f t="shared" si="1"/>
        <v>371830</v>
      </c>
      <c r="H6" s="7">
        <f t="shared" si="1"/>
        <v>390830</v>
      </c>
    </row>
    <row r="7" spans="1:8" ht="15.75" customHeight="1" x14ac:dyDescent="0.2">
      <c r="A7" s="94"/>
      <c r="B7" s="6" t="s">
        <v>15</v>
      </c>
      <c r="C7" s="7">
        <f t="shared" ref="C7:H7" si="2">(C4-C5)</f>
        <v>150700</v>
      </c>
      <c r="D7" s="7">
        <f t="shared" si="2"/>
        <v>170700</v>
      </c>
      <c r="E7" s="7">
        <f t="shared" si="2"/>
        <v>180700</v>
      </c>
      <c r="F7" s="7">
        <f t="shared" si="2"/>
        <v>190700</v>
      </c>
      <c r="G7" s="7">
        <f t="shared" si="2"/>
        <v>195700</v>
      </c>
      <c r="H7" s="7">
        <f t="shared" si="2"/>
        <v>205700</v>
      </c>
    </row>
    <row r="8" spans="1:8" ht="15.75" customHeight="1" x14ac:dyDescent="0.2">
      <c r="A8" s="92" t="s">
        <v>16</v>
      </c>
      <c r="B8" s="3" t="s">
        <v>12</v>
      </c>
      <c r="C8" s="4">
        <v>214250</v>
      </c>
      <c r="D8" s="4">
        <f t="shared" ref="D8:H8" si="3">C8</f>
        <v>214250</v>
      </c>
      <c r="E8" s="4">
        <f t="shared" si="3"/>
        <v>214250</v>
      </c>
      <c r="F8" s="4">
        <f t="shared" si="3"/>
        <v>214250</v>
      </c>
      <c r="G8" s="4">
        <f t="shared" si="3"/>
        <v>214250</v>
      </c>
      <c r="H8" s="4">
        <f t="shared" si="3"/>
        <v>214250</v>
      </c>
    </row>
    <row r="9" spans="1:8" ht="15.75" customHeight="1" x14ac:dyDescent="0.2">
      <c r="A9" s="93"/>
      <c r="B9" s="3" t="s">
        <v>13</v>
      </c>
      <c r="C9" s="4">
        <f t="shared" ref="C9:H9" si="4">C5</f>
        <v>55000</v>
      </c>
      <c r="D9" s="4">
        <f t="shared" si="4"/>
        <v>35000</v>
      </c>
      <c r="E9" s="4">
        <f t="shared" si="4"/>
        <v>25000</v>
      </c>
      <c r="F9" s="4">
        <f t="shared" si="4"/>
        <v>15000</v>
      </c>
      <c r="G9" s="4">
        <f t="shared" si="4"/>
        <v>10000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302575</v>
      </c>
      <c r="D10" s="7">
        <f t="shared" si="5"/>
        <v>340575</v>
      </c>
      <c r="E10" s="7">
        <f t="shared" si="5"/>
        <v>359575</v>
      </c>
      <c r="F10" s="7">
        <f t="shared" si="5"/>
        <v>378575</v>
      </c>
      <c r="G10" s="7">
        <f t="shared" si="5"/>
        <v>388075</v>
      </c>
      <c r="H10" s="7">
        <f t="shared" si="5"/>
        <v>407075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159250</v>
      </c>
      <c r="D11" s="7">
        <f t="shared" si="6"/>
        <v>179250</v>
      </c>
      <c r="E11" s="7">
        <f t="shared" si="6"/>
        <v>189250</v>
      </c>
      <c r="F11" s="7">
        <f t="shared" si="6"/>
        <v>199250</v>
      </c>
      <c r="G11" s="7">
        <f t="shared" si="6"/>
        <v>204250</v>
      </c>
      <c r="H11" s="7">
        <f t="shared" si="6"/>
        <v>214250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224962.5</v>
      </c>
      <c r="D12" s="4">
        <f t="shared" ref="D12:H12" si="7">C12</f>
        <v>224962.5</v>
      </c>
      <c r="E12" s="4">
        <f t="shared" si="7"/>
        <v>224962.5</v>
      </c>
      <c r="F12" s="4">
        <f t="shared" si="7"/>
        <v>224962.5</v>
      </c>
      <c r="G12" s="4">
        <f t="shared" si="7"/>
        <v>224962.5</v>
      </c>
      <c r="H12" s="4">
        <f t="shared" si="7"/>
        <v>224962.5</v>
      </c>
    </row>
    <row r="13" spans="1:8" ht="15.75" customHeight="1" x14ac:dyDescent="0.2">
      <c r="A13" s="93"/>
      <c r="B13" s="3" t="s">
        <v>13</v>
      </c>
      <c r="C13" s="4">
        <f t="shared" ref="C13:H13" si="8">C5</f>
        <v>55000</v>
      </c>
      <c r="D13" s="4">
        <f t="shared" si="8"/>
        <v>35000</v>
      </c>
      <c r="E13" s="4">
        <f t="shared" si="8"/>
        <v>25000</v>
      </c>
      <c r="F13" s="4">
        <f t="shared" si="8"/>
        <v>15000</v>
      </c>
      <c r="G13" s="4">
        <f t="shared" si="8"/>
        <v>10000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322928.75</v>
      </c>
      <c r="D14" s="7">
        <f t="shared" si="9"/>
        <v>360928.75</v>
      </c>
      <c r="E14" s="7">
        <f t="shared" si="9"/>
        <v>379928.75</v>
      </c>
      <c r="F14" s="7">
        <f t="shared" si="9"/>
        <v>398928.75</v>
      </c>
      <c r="G14" s="7">
        <f t="shared" si="9"/>
        <v>408428.75</v>
      </c>
      <c r="H14" s="7">
        <f t="shared" si="9"/>
        <v>427428.75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169962.5</v>
      </c>
      <c r="D15" s="7">
        <f t="shared" si="10"/>
        <v>189962.5</v>
      </c>
      <c r="E15" s="7">
        <f t="shared" si="10"/>
        <v>199962.5</v>
      </c>
      <c r="F15" s="7">
        <f t="shared" si="10"/>
        <v>209962.5</v>
      </c>
      <c r="G15" s="7">
        <f t="shared" si="10"/>
        <v>214962.5</v>
      </c>
      <c r="H15" s="7">
        <f t="shared" si="10"/>
        <v>224962.5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236210.625</v>
      </c>
      <c r="D16" s="4">
        <f t="shared" ref="D16:H16" si="11">C16</f>
        <v>236210.625</v>
      </c>
      <c r="E16" s="4">
        <f t="shared" si="11"/>
        <v>236210.625</v>
      </c>
      <c r="F16" s="4">
        <f t="shared" si="11"/>
        <v>236210.625</v>
      </c>
      <c r="G16" s="4">
        <f t="shared" si="11"/>
        <v>236210.625</v>
      </c>
      <c r="H16" s="4">
        <f t="shared" si="11"/>
        <v>236210.625</v>
      </c>
    </row>
    <row r="17" spans="1:8" ht="15.75" customHeight="1" x14ac:dyDescent="0.2">
      <c r="A17" s="93"/>
      <c r="B17" s="3" t="s">
        <v>13</v>
      </c>
      <c r="C17" s="4">
        <f t="shared" ref="C17:H17" si="12">C9</f>
        <v>55000</v>
      </c>
      <c r="D17" s="4">
        <f t="shared" si="12"/>
        <v>35000</v>
      </c>
      <c r="E17" s="4">
        <f t="shared" si="12"/>
        <v>25000</v>
      </c>
      <c r="F17" s="4">
        <f t="shared" si="12"/>
        <v>15000</v>
      </c>
      <c r="G17" s="4">
        <f t="shared" si="12"/>
        <v>10000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344300.1875</v>
      </c>
      <c r="D18" s="7">
        <f t="shared" si="13"/>
        <v>382300.1875</v>
      </c>
      <c r="E18" s="7">
        <f t="shared" si="13"/>
        <v>401300.1875</v>
      </c>
      <c r="F18" s="7">
        <f t="shared" si="13"/>
        <v>420300.1875</v>
      </c>
      <c r="G18" s="7">
        <f t="shared" si="13"/>
        <v>429800.1875</v>
      </c>
      <c r="H18" s="7">
        <f t="shared" si="13"/>
        <v>448800.1875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181210.625</v>
      </c>
      <c r="D19" s="7">
        <f t="shared" si="14"/>
        <v>201210.625</v>
      </c>
      <c r="E19" s="7">
        <f t="shared" si="14"/>
        <v>211210.625</v>
      </c>
      <c r="F19" s="7">
        <f t="shared" si="14"/>
        <v>221210.625</v>
      </c>
      <c r="G19" s="7">
        <f t="shared" si="14"/>
        <v>226210.625</v>
      </c>
      <c r="H19" s="7">
        <f t="shared" si="14"/>
        <v>236210.625</v>
      </c>
    </row>
    <row r="20" spans="1:8" ht="15.75" customHeight="1" x14ac:dyDescent="0.2">
      <c r="A20" s="92" t="s">
        <v>320</v>
      </c>
      <c r="B20" s="3" t="s">
        <v>12</v>
      </c>
      <c r="C20" s="4">
        <f>C16*1.05</f>
        <v>248021.15625</v>
      </c>
      <c r="D20" s="4">
        <f t="shared" ref="D20:H20" si="15">C20</f>
        <v>248021.15625</v>
      </c>
      <c r="E20" s="4">
        <f t="shared" si="15"/>
        <v>248021.15625</v>
      </c>
      <c r="F20" s="4">
        <f t="shared" si="15"/>
        <v>248021.15625</v>
      </c>
      <c r="G20" s="4">
        <f t="shared" si="15"/>
        <v>248021.15625</v>
      </c>
      <c r="H20" s="4">
        <f t="shared" si="15"/>
        <v>248021.15625</v>
      </c>
    </row>
    <row r="21" spans="1:8" ht="15.75" customHeight="1" x14ac:dyDescent="0.2">
      <c r="A21" s="93"/>
      <c r="B21" s="3" t="s">
        <v>13</v>
      </c>
      <c r="C21" s="4">
        <f t="shared" ref="C21:H21" si="16">C13</f>
        <v>55000</v>
      </c>
      <c r="D21" s="4">
        <f t="shared" si="16"/>
        <v>35000</v>
      </c>
      <c r="E21" s="4">
        <f t="shared" si="16"/>
        <v>25000</v>
      </c>
      <c r="F21" s="4">
        <f t="shared" si="16"/>
        <v>15000</v>
      </c>
      <c r="G21" s="4">
        <f t="shared" si="16"/>
        <v>10000</v>
      </c>
      <c r="H21" s="4">
        <f t="shared" si="16"/>
        <v>0</v>
      </c>
    </row>
    <row r="22" spans="1:8" ht="15.75" customHeight="1" x14ac:dyDescent="0.2">
      <c r="A22" s="93"/>
      <c r="B22" s="6" t="s">
        <v>14</v>
      </c>
      <c r="C22" s="7">
        <f t="shared" ref="C22:H22" si="17">(C20-C21)*2*0.95</f>
        <v>366740.19687499997</v>
      </c>
      <c r="D22" s="7">
        <f t="shared" si="17"/>
        <v>404740.19687499997</v>
      </c>
      <c r="E22" s="7">
        <f t="shared" si="17"/>
        <v>423740.19687499997</v>
      </c>
      <c r="F22" s="7">
        <f t="shared" si="17"/>
        <v>442740.19687499997</v>
      </c>
      <c r="G22" s="7">
        <f t="shared" si="17"/>
        <v>452240.19687499997</v>
      </c>
      <c r="H22" s="7">
        <f t="shared" si="17"/>
        <v>471240.19687499997</v>
      </c>
    </row>
    <row r="23" spans="1:8" ht="15.75" customHeight="1" x14ac:dyDescent="0.2">
      <c r="A23" s="94"/>
      <c r="B23" s="6" t="s">
        <v>15</v>
      </c>
      <c r="C23" s="7">
        <f t="shared" ref="C23:H23" si="18">(C20-C21)</f>
        <v>193021.15625</v>
      </c>
      <c r="D23" s="7">
        <f t="shared" si="18"/>
        <v>213021.15625</v>
      </c>
      <c r="E23" s="7">
        <f t="shared" si="18"/>
        <v>223021.15625</v>
      </c>
      <c r="F23" s="7">
        <f t="shared" si="18"/>
        <v>233021.15625</v>
      </c>
      <c r="G23" s="7">
        <f t="shared" si="18"/>
        <v>238021.15625</v>
      </c>
      <c r="H23" s="7">
        <f t="shared" si="18"/>
        <v>248021.15625</v>
      </c>
    </row>
    <row r="24" spans="1:8" ht="15.75" customHeight="1" x14ac:dyDescent="0.2">
      <c r="A24" s="76" t="s">
        <v>19</v>
      </c>
      <c r="B24" s="75"/>
      <c r="C24" s="9">
        <f>SUM(C6,C10,C14,C18,C22)</f>
        <v>1622874.1343749999</v>
      </c>
      <c r="D24" s="9">
        <f t="shared" ref="D24:H24" si="19">SUM(D6,D10,D14,D18,D22)</f>
        <v>1812874.1343749999</v>
      </c>
      <c r="E24" s="9">
        <f t="shared" si="19"/>
        <v>1907874.1343749999</v>
      </c>
      <c r="F24" s="9">
        <f t="shared" si="19"/>
        <v>2002874.1343749999</v>
      </c>
      <c r="G24" s="9">
        <f t="shared" si="19"/>
        <v>2050374.1343749999</v>
      </c>
      <c r="H24" s="9">
        <f t="shared" si="19"/>
        <v>2145374.1343749999</v>
      </c>
    </row>
    <row r="25" spans="1:8" ht="15.75" customHeight="1" x14ac:dyDescent="0.2">
      <c r="A25" s="77" t="s">
        <v>20</v>
      </c>
      <c r="B25" s="78"/>
      <c r="C25" s="83" t="s">
        <v>21</v>
      </c>
      <c r="D25" s="75"/>
      <c r="E25" s="44">
        <v>10000</v>
      </c>
      <c r="F25" s="84"/>
      <c r="G25" s="85"/>
      <c r="H25" s="78"/>
    </row>
    <row r="26" spans="1:8" ht="15.75" customHeight="1" x14ac:dyDescent="0.2">
      <c r="A26" s="79"/>
      <c r="B26" s="80"/>
      <c r="C26" s="83" t="s">
        <v>22</v>
      </c>
      <c r="D26" s="75"/>
      <c r="E26" s="44">
        <v>5000</v>
      </c>
      <c r="F26" s="79"/>
      <c r="G26" s="86"/>
      <c r="H26" s="80"/>
    </row>
    <row r="27" spans="1:8" ht="15.75" customHeight="1" x14ac:dyDescent="0.2">
      <c r="A27" s="81"/>
      <c r="B27" s="82"/>
      <c r="C27" s="88" t="s">
        <v>23</v>
      </c>
      <c r="D27" s="75"/>
      <c r="E27" s="10">
        <v>3000</v>
      </c>
      <c r="F27" s="81"/>
      <c r="G27" s="87"/>
      <c r="H27" s="82"/>
    </row>
    <row r="28" spans="1:8" ht="15.75" customHeight="1" x14ac:dyDescent="0.2">
      <c r="A28" s="89" t="s">
        <v>24</v>
      </c>
      <c r="B28" s="78"/>
      <c r="C28" s="76" t="s">
        <v>25</v>
      </c>
      <c r="D28" s="75"/>
      <c r="E28" s="3">
        <v>18500</v>
      </c>
      <c r="F28" s="84"/>
      <c r="G28" s="85"/>
      <c r="H28" s="78"/>
    </row>
    <row r="29" spans="1:8" ht="15.75" customHeight="1" x14ac:dyDescent="0.2">
      <c r="A29" s="81"/>
      <c r="B29" s="82"/>
      <c r="C29" s="76" t="s">
        <v>26</v>
      </c>
      <c r="D29" s="75"/>
      <c r="E29" s="3">
        <v>9750</v>
      </c>
      <c r="F29" s="81"/>
      <c r="G29" s="87"/>
      <c r="H29" s="82"/>
    </row>
    <row r="30" spans="1:8" ht="15.75" customHeight="1" x14ac:dyDescent="0.2">
      <c r="A30" s="73" t="s">
        <v>27</v>
      </c>
      <c r="B30" s="74"/>
      <c r="C30" s="74"/>
      <c r="D30" s="74"/>
      <c r="E30" s="74"/>
      <c r="F30" s="74"/>
      <c r="G30" s="74"/>
      <c r="H30" s="75"/>
    </row>
    <row r="31" spans="1:8" ht="15.75" customHeight="1" x14ac:dyDescent="0.2">
      <c r="A31" s="73" t="s">
        <v>28</v>
      </c>
      <c r="B31" s="74"/>
      <c r="C31" s="74"/>
      <c r="D31" s="74"/>
      <c r="E31" s="74"/>
      <c r="F31" s="74"/>
      <c r="G31" s="74"/>
      <c r="H31" s="75"/>
    </row>
    <row r="32" spans="1:8" ht="15.75" customHeight="1" x14ac:dyDescent="0.2">
      <c r="A32" s="95" t="s">
        <v>29</v>
      </c>
      <c r="B32" s="74"/>
      <c r="C32" s="74"/>
      <c r="D32" s="74"/>
      <c r="E32" s="74"/>
      <c r="F32" s="74"/>
      <c r="G32" s="74"/>
      <c r="H32" s="75"/>
    </row>
    <row r="33" spans="1:8" ht="15.75" customHeight="1" x14ac:dyDescent="0.2">
      <c r="A33" s="168" t="s">
        <v>30</v>
      </c>
      <c r="B33" s="74"/>
      <c r="C33" s="74"/>
      <c r="D33" s="74"/>
      <c r="E33" s="74"/>
      <c r="F33" s="74"/>
      <c r="G33" s="74"/>
      <c r="H33" s="75"/>
    </row>
    <row r="34" spans="1:8" ht="15.75" customHeight="1" x14ac:dyDescent="0.2"/>
    <row r="35" spans="1:8" ht="15.75" customHeight="1" x14ac:dyDescent="0.2"/>
    <row r="36" spans="1:8" ht="15.75" customHeight="1" x14ac:dyDescent="0.2"/>
    <row r="37" spans="1:8" ht="15.75" customHeight="1" x14ac:dyDescent="0.2"/>
    <row r="38" spans="1:8" ht="15.75" customHeight="1" x14ac:dyDescent="0.2"/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A1:H1"/>
    <mergeCell ref="A2:H2"/>
    <mergeCell ref="A4:A7"/>
    <mergeCell ref="A8:A11"/>
    <mergeCell ref="A12:A15"/>
    <mergeCell ref="A16:A19"/>
    <mergeCell ref="A20:A23"/>
    <mergeCell ref="F25:H27"/>
    <mergeCell ref="F28:H29"/>
    <mergeCell ref="C29:D29"/>
    <mergeCell ref="A30:H30"/>
    <mergeCell ref="A31:H31"/>
    <mergeCell ref="A32:H32"/>
    <mergeCell ref="A33:H33"/>
    <mergeCell ref="A24:B24"/>
    <mergeCell ref="A25:B27"/>
    <mergeCell ref="C25:D25"/>
    <mergeCell ref="C26:D26"/>
    <mergeCell ref="C27:D27"/>
    <mergeCell ref="A28:B29"/>
    <mergeCell ref="C28:D28"/>
  </mergeCells>
  <pageMargins left="0.7" right="0.7" top="0.75" bottom="0.75" header="0" footer="0"/>
  <pageSetup orientation="landscape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1000"/>
  <sheetViews>
    <sheetView topLeftCell="A4"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323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324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325</v>
      </c>
      <c r="D3" s="2" t="s">
        <v>326</v>
      </c>
      <c r="E3" s="2" t="s">
        <v>327</v>
      </c>
      <c r="F3" s="2" t="s">
        <v>328</v>
      </c>
      <c r="G3" s="2" t="s">
        <v>329</v>
      </c>
      <c r="H3" s="2" t="s">
        <v>330</v>
      </c>
    </row>
    <row r="4" spans="1:8" ht="15.75" customHeight="1" x14ac:dyDescent="0.2">
      <c r="A4" s="92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93"/>
      <c r="B5" s="3" t="s">
        <v>331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94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92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93"/>
      <c r="B9" s="3" t="s">
        <v>331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93"/>
      <c r="B13" s="3" t="s">
        <v>331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92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93"/>
      <c r="B17" s="3" t="s">
        <v>331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78"/>
      <c r="H21" s="2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0"/>
      <c r="H22" s="28"/>
    </row>
    <row r="23" spans="1:8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0"/>
      <c r="H23" s="28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0"/>
      <c r="H24" s="28"/>
    </row>
    <row r="25" spans="1:8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2"/>
      <c r="H25" s="28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5"/>
      <c r="H26" s="49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5"/>
      <c r="H27" s="49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5"/>
      <c r="H28" s="50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5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332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333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325</v>
      </c>
      <c r="D3" s="2" t="s">
        <v>326</v>
      </c>
      <c r="E3" s="2" t="s">
        <v>327</v>
      </c>
      <c r="F3" s="2" t="s">
        <v>328</v>
      </c>
      <c r="G3" s="2" t="s">
        <v>329</v>
      </c>
      <c r="H3" s="2" t="s">
        <v>330</v>
      </c>
    </row>
    <row r="4" spans="1:8" ht="15.75" customHeight="1" x14ac:dyDescent="0.2">
      <c r="A4" s="92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93"/>
      <c r="B5" s="3" t="s">
        <v>331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94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92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93"/>
      <c r="B9" s="3" t="s">
        <v>331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93"/>
      <c r="B13" s="3" t="s">
        <v>331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92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93"/>
      <c r="B17" s="3" t="s">
        <v>331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78"/>
      <c r="H21" s="2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0"/>
      <c r="H22" s="28"/>
    </row>
    <row r="23" spans="1:8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0"/>
      <c r="H23" s="28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0"/>
      <c r="H24" s="28"/>
    </row>
    <row r="25" spans="1:8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2"/>
      <c r="H25" s="28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5"/>
      <c r="H26" s="49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5"/>
      <c r="H27" s="49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5"/>
      <c r="H28" s="50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5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1000"/>
  <sheetViews>
    <sheetView workbookViewId="0">
      <selection activeCell="I1" sqref="I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334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335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325</v>
      </c>
      <c r="D3" s="2" t="s">
        <v>326</v>
      </c>
      <c r="E3" s="2" t="s">
        <v>327</v>
      </c>
      <c r="F3" s="2" t="s">
        <v>328</v>
      </c>
      <c r="G3" s="2" t="s">
        <v>329</v>
      </c>
      <c r="H3" s="2" t="s">
        <v>330</v>
      </c>
    </row>
    <row r="4" spans="1:8" ht="15.75" customHeight="1" x14ac:dyDescent="0.2">
      <c r="A4" s="92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93"/>
      <c r="B5" s="3" t="s">
        <v>331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94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92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93"/>
      <c r="B9" s="3" t="s">
        <v>331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93"/>
      <c r="B13" s="3" t="s">
        <v>331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92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93"/>
      <c r="B17" s="3" t="s">
        <v>331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78"/>
      <c r="H21" s="2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0"/>
      <c r="H22" s="28"/>
    </row>
    <row r="23" spans="1:8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0"/>
      <c r="H23" s="28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0"/>
      <c r="H24" s="28"/>
    </row>
    <row r="25" spans="1:8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2"/>
      <c r="H25" s="28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5"/>
      <c r="H26" s="49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5"/>
      <c r="H27" s="49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5"/>
      <c r="H28" s="50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5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1000"/>
  <sheetViews>
    <sheetView workbookViewId="0">
      <selection activeCell="G3" sqref="G3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336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337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325</v>
      </c>
      <c r="D3" s="2" t="s">
        <v>326</v>
      </c>
      <c r="E3" s="2" t="s">
        <v>327</v>
      </c>
      <c r="F3" s="2" t="s">
        <v>328</v>
      </c>
      <c r="G3" s="2" t="s">
        <v>329</v>
      </c>
      <c r="H3" s="2" t="s">
        <v>330</v>
      </c>
    </row>
    <row r="4" spans="1:8" ht="15.75" customHeight="1" x14ac:dyDescent="0.2">
      <c r="A4" s="92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93"/>
      <c r="B5" s="3" t="s">
        <v>331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94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92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93"/>
      <c r="B9" s="3" t="s">
        <v>331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93"/>
      <c r="B13" s="3" t="s">
        <v>331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92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93"/>
      <c r="B17" s="3" t="s">
        <v>331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78"/>
      <c r="H21" s="2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0"/>
      <c r="H22" s="28"/>
    </row>
    <row r="23" spans="1:8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0"/>
      <c r="H23" s="28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0"/>
      <c r="H24" s="28"/>
    </row>
    <row r="25" spans="1:8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2"/>
      <c r="H25" s="28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5"/>
      <c r="H26" s="49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5"/>
      <c r="H27" s="49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5"/>
      <c r="H28" s="50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5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6:A19"/>
    <mergeCell ref="A1:H1"/>
    <mergeCell ref="A2:H2"/>
    <mergeCell ref="A4:A7"/>
    <mergeCell ref="A8:A11"/>
    <mergeCell ref="A12:A15"/>
    <mergeCell ref="A26:G26"/>
    <mergeCell ref="A27:G27"/>
    <mergeCell ref="A28:G28"/>
    <mergeCell ref="A29:G29"/>
    <mergeCell ref="A20:B20"/>
    <mergeCell ref="A21:B23"/>
    <mergeCell ref="C21:D21"/>
    <mergeCell ref="F21:G25"/>
    <mergeCell ref="C22:D22"/>
    <mergeCell ref="C23:D23"/>
    <mergeCell ref="A24:B25"/>
    <mergeCell ref="C24:D24"/>
    <mergeCell ref="C25:D25"/>
  </mergeCells>
  <pageMargins left="0.7" right="0.7" top="0.75" bottom="0.75" header="0" footer="0"/>
  <pageSetup orientation="landscape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5" width="10.6640625" customWidth="1"/>
    <col min="6" max="6" width="15.6640625" customWidth="1"/>
    <col min="7" max="7" width="16" customWidth="1"/>
    <col min="8" max="8" width="12.6640625" customWidth="1"/>
    <col min="9" max="26" width="11.1640625" customWidth="1"/>
  </cols>
  <sheetData>
    <row r="1" spans="1:8" ht="15.75" customHeight="1" x14ac:dyDescent="0.2">
      <c r="A1" s="169" t="s">
        <v>338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339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325</v>
      </c>
      <c r="D3" s="2" t="s">
        <v>326</v>
      </c>
      <c r="E3" s="2" t="s">
        <v>327</v>
      </c>
      <c r="F3" s="2" t="s">
        <v>328</v>
      </c>
      <c r="G3" s="2" t="s">
        <v>329</v>
      </c>
      <c r="H3" s="2" t="s">
        <v>330</v>
      </c>
    </row>
    <row r="4" spans="1:8" ht="15.75" customHeight="1" x14ac:dyDescent="0.2">
      <c r="A4" s="92" t="s">
        <v>11</v>
      </c>
      <c r="B4" s="3" t="s">
        <v>12</v>
      </c>
      <c r="C4" s="4">
        <v>192000</v>
      </c>
      <c r="D4" s="4">
        <f t="shared" ref="D4:H4" si="0">C4</f>
        <v>192000</v>
      </c>
      <c r="E4" s="4">
        <f t="shared" si="0"/>
        <v>192000</v>
      </c>
      <c r="F4" s="4">
        <f t="shared" si="0"/>
        <v>192000</v>
      </c>
      <c r="G4" s="4">
        <f t="shared" si="0"/>
        <v>192000</v>
      </c>
      <c r="H4" s="4">
        <f t="shared" si="0"/>
        <v>192000</v>
      </c>
    </row>
    <row r="5" spans="1:8" ht="15.75" customHeight="1" x14ac:dyDescent="0.2">
      <c r="A5" s="93"/>
      <c r="B5" s="3" t="s">
        <v>331</v>
      </c>
      <c r="C5" s="5">
        <v>75000</v>
      </c>
      <c r="D5" s="5">
        <v>60000</v>
      </c>
      <c r="E5" s="5">
        <v>50000</v>
      </c>
      <c r="F5" s="5">
        <v>45000</v>
      </c>
      <c r="G5" s="5">
        <v>40000</v>
      </c>
      <c r="H5" s="5">
        <v>35000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94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92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93"/>
      <c r="B9" s="3" t="s">
        <v>331</v>
      </c>
      <c r="C9" s="5">
        <f t="shared" ref="C9:H9" si="4">C5</f>
        <v>75000</v>
      </c>
      <c r="D9" s="5">
        <f t="shared" si="4"/>
        <v>60000</v>
      </c>
      <c r="E9" s="5">
        <f t="shared" si="4"/>
        <v>50000</v>
      </c>
      <c r="F9" s="5">
        <f t="shared" si="4"/>
        <v>45000</v>
      </c>
      <c r="G9" s="5">
        <f t="shared" si="4"/>
        <v>40000</v>
      </c>
      <c r="H9" s="5">
        <f t="shared" si="4"/>
        <v>35000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210000</v>
      </c>
      <c r="D12" s="4">
        <f t="shared" ref="D12:H12" si="7">C12</f>
        <v>210000</v>
      </c>
      <c r="E12" s="4">
        <f t="shared" si="7"/>
        <v>210000</v>
      </c>
      <c r="F12" s="4">
        <f t="shared" si="7"/>
        <v>210000</v>
      </c>
      <c r="G12" s="4">
        <f t="shared" si="7"/>
        <v>210000</v>
      </c>
      <c r="H12" s="4">
        <f t="shared" si="7"/>
        <v>210000</v>
      </c>
    </row>
    <row r="13" spans="1:8" ht="15.75" customHeight="1" x14ac:dyDescent="0.2">
      <c r="A13" s="93"/>
      <c r="B13" s="3" t="s">
        <v>331</v>
      </c>
      <c r="C13" s="5">
        <f t="shared" ref="C13:H13" si="8">C9</f>
        <v>75000</v>
      </c>
      <c r="D13" s="5">
        <f t="shared" si="8"/>
        <v>60000</v>
      </c>
      <c r="E13" s="5">
        <f t="shared" si="8"/>
        <v>50000</v>
      </c>
      <c r="F13" s="5">
        <f t="shared" si="8"/>
        <v>45000</v>
      </c>
      <c r="G13" s="5">
        <f t="shared" si="8"/>
        <v>40000</v>
      </c>
      <c r="H13" s="5">
        <f t="shared" si="8"/>
        <v>35000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256500</v>
      </c>
      <c r="D14" s="7">
        <f t="shared" si="9"/>
        <v>285000</v>
      </c>
      <c r="E14" s="7">
        <f t="shared" si="9"/>
        <v>304000</v>
      </c>
      <c r="F14" s="7">
        <f t="shared" si="9"/>
        <v>313500</v>
      </c>
      <c r="G14" s="7">
        <f t="shared" si="9"/>
        <v>323000</v>
      </c>
      <c r="H14" s="7">
        <f t="shared" si="9"/>
        <v>332500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135000</v>
      </c>
      <c r="D15" s="7">
        <f t="shared" si="10"/>
        <v>150000</v>
      </c>
      <c r="E15" s="7">
        <f t="shared" si="10"/>
        <v>160000</v>
      </c>
      <c r="F15" s="7">
        <f t="shared" si="10"/>
        <v>165000</v>
      </c>
      <c r="G15" s="7">
        <f t="shared" si="10"/>
        <v>170000</v>
      </c>
      <c r="H15" s="7">
        <f t="shared" si="10"/>
        <v>175000</v>
      </c>
    </row>
    <row r="16" spans="1:8" ht="15.75" customHeight="1" x14ac:dyDescent="0.2">
      <c r="A16" s="92" t="s">
        <v>18</v>
      </c>
      <c r="B16" s="3" t="s">
        <v>12</v>
      </c>
      <c r="C16" s="4">
        <f>C12*1.05</f>
        <v>220500</v>
      </c>
      <c r="D16" s="4">
        <f t="shared" ref="D16:H16" si="11">C16</f>
        <v>220500</v>
      </c>
      <c r="E16" s="4">
        <f t="shared" si="11"/>
        <v>220500</v>
      </c>
      <c r="F16" s="4">
        <f t="shared" si="11"/>
        <v>220500</v>
      </c>
      <c r="G16" s="4">
        <f t="shared" si="11"/>
        <v>220500</v>
      </c>
      <c r="H16" s="4">
        <f t="shared" si="11"/>
        <v>220500</v>
      </c>
    </row>
    <row r="17" spans="1:8" ht="15.75" customHeight="1" x14ac:dyDescent="0.2">
      <c r="A17" s="93"/>
      <c r="B17" s="3" t="s">
        <v>331</v>
      </c>
      <c r="C17" s="5">
        <f t="shared" ref="C17:H17" si="12">C13</f>
        <v>75000</v>
      </c>
      <c r="D17" s="5">
        <f t="shared" si="12"/>
        <v>60000</v>
      </c>
      <c r="E17" s="5">
        <f t="shared" si="12"/>
        <v>50000</v>
      </c>
      <c r="F17" s="5">
        <f t="shared" si="12"/>
        <v>45000</v>
      </c>
      <c r="G17" s="5">
        <f t="shared" si="12"/>
        <v>40000</v>
      </c>
      <c r="H17" s="5">
        <f t="shared" si="12"/>
        <v>35000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276450</v>
      </c>
      <c r="D18" s="7">
        <f t="shared" si="13"/>
        <v>304950</v>
      </c>
      <c r="E18" s="7">
        <f t="shared" si="13"/>
        <v>323950</v>
      </c>
      <c r="F18" s="7">
        <f t="shared" si="13"/>
        <v>333450</v>
      </c>
      <c r="G18" s="7">
        <f t="shared" si="13"/>
        <v>342950</v>
      </c>
      <c r="H18" s="7">
        <f t="shared" si="13"/>
        <v>352450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145500</v>
      </c>
      <c r="D19" s="7">
        <f t="shared" si="14"/>
        <v>160500</v>
      </c>
      <c r="E19" s="7">
        <f t="shared" si="14"/>
        <v>170500</v>
      </c>
      <c r="F19" s="7">
        <f t="shared" si="14"/>
        <v>175500</v>
      </c>
      <c r="G19" s="7">
        <f t="shared" si="14"/>
        <v>180500</v>
      </c>
      <c r="H19" s="7">
        <f t="shared" si="14"/>
        <v>185500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992750</v>
      </c>
      <c r="D20" s="9">
        <f t="shared" si="15"/>
        <v>1106750</v>
      </c>
      <c r="E20" s="9">
        <f t="shared" si="15"/>
        <v>1182750</v>
      </c>
      <c r="F20" s="9">
        <f t="shared" si="15"/>
        <v>1220750</v>
      </c>
      <c r="G20" s="9">
        <f t="shared" si="15"/>
        <v>1258750</v>
      </c>
      <c r="H20" s="9">
        <f t="shared" si="15"/>
        <v>1296750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15000</v>
      </c>
      <c r="F21" s="84"/>
      <c r="G21" s="78"/>
      <c r="H21" s="2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0"/>
      <c r="H22" s="28"/>
    </row>
    <row r="23" spans="1:8" ht="15.75" customHeight="1" x14ac:dyDescent="0.2">
      <c r="A23" s="81"/>
      <c r="B23" s="82"/>
      <c r="C23" s="88" t="s">
        <v>23</v>
      </c>
      <c r="D23" s="75"/>
      <c r="E23" s="10">
        <v>5000</v>
      </c>
      <c r="F23" s="79"/>
      <c r="G23" s="80"/>
      <c r="H23" s="28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20500</v>
      </c>
      <c r="F24" s="79"/>
      <c r="G24" s="80"/>
      <c r="H24" s="28"/>
    </row>
    <row r="25" spans="1:8" ht="15.75" customHeight="1" x14ac:dyDescent="0.2">
      <c r="A25" s="81"/>
      <c r="B25" s="82"/>
      <c r="C25" s="76" t="s">
        <v>26</v>
      </c>
      <c r="D25" s="75"/>
      <c r="E25" s="3">
        <v>10750</v>
      </c>
      <c r="F25" s="81"/>
      <c r="G25" s="82"/>
      <c r="H25" s="28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5"/>
      <c r="H26" s="49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5"/>
      <c r="H27" s="49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5"/>
      <c r="H28" s="50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5"/>
      <c r="H29" s="51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G26"/>
    <mergeCell ref="A27:G27"/>
    <mergeCell ref="A28:G28"/>
    <mergeCell ref="A29:G29"/>
    <mergeCell ref="A21:B23"/>
    <mergeCell ref="C21:D21"/>
    <mergeCell ref="F21:G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6" t="s">
        <v>340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341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92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1000"/>
  <sheetViews>
    <sheetView workbookViewId="0"/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6" t="s">
        <v>342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343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92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6" t="s">
        <v>344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345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92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FACF-28E4-6A41-A435-3F296F022BDE}">
  <dimension ref="A1:H1000"/>
  <sheetViews>
    <sheetView workbookViewId="0">
      <selection activeCell="E5" sqref="E5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6" t="s">
        <v>371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372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92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6:A19"/>
    <mergeCell ref="A1:H1"/>
    <mergeCell ref="A2:H2"/>
    <mergeCell ref="A4:A7"/>
    <mergeCell ref="A8:A11"/>
    <mergeCell ref="A12:A15"/>
    <mergeCell ref="A26:H26"/>
    <mergeCell ref="A27:H27"/>
    <mergeCell ref="A28:H28"/>
    <mergeCell ref="A29:H29"/>
    <mergeCell ref="A20:B20"/>
    <mergeCell ref="A21:B23"/>
    <mergeCell ref="C21:D21"/>
    <mergeCell ref="F21:H25"/>
    <mergeCell ref="C22:D22"/>
    <mergeCell ref="C23:D23"/>
    <mergeCell ref="A24:B25"/>
    <mergeCell ref="C24:D24"/>
    <mergeCell ref="C25:D25"/>
  </mergeCells>
  <pageMargins left="0.7" right="0.7" top="0.75" bottom="0.75" header="0" footer="0"/>
  <pageSetup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6" t="s">
        <v>346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347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92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1000"/>
  <sheetViews>
    <sheetView workbookViewId="0"/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6" t="s">
        <v>348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349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92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1000"/>
  <sheetViews>
    <sheetView workbookViewId="0"/>
  </sheetViews>
  <sheetFormatPr baseColWidth="10" defaultColWidth="11.1640625" defaultRowHeight="15" customHeight="1" x14ac:dyDescent="0.2"/>
  <cols>
    <col min="1" max="1" width="10.6640625" customWidth="1"/>
    <col min="2" max="2" width="22.33203125" customWidth="1"/>
    <col min="3" max="3" width="20.6640625" customWidth="1"/>
    <col min="4" max="7" width="10.6640625" customWidth="1"/>
    <col min="8" max="26" width="11.1640625" customWidth="1"/>
  </cols>
  <sheetData>
    <row r="1" spans="1:4" ht="15.75" customHeight="1" x14ac:dyDescent="0.2">
      <c r="A1" s="96" t="s">
        <v>350</v>
      </c>
      <c r="B1" s="74"/>
      <c r="C1" s="75"/>
    </row>
    <row r="2" spans="1:4" ht="80.25" customHeight="1" x14ac:dyDescent="0.2">
      <c r="A2" s="96" t="s">
        <v>351</v>
      </c>
      <c r="B2" s="74"/>
      <c r="C2" s="75"/>
    </row>
    <row r="3" spans="1:4" ht="15.75" customHeight="1" x14ac:dyDescent="0.2">
      <c r="A3" s="1" t="s">
        <v>2</v>
      </c>
      <c r="B3" s="1" t="s">
        <v>3</v>
      </c>
      <c r="C3" s="2" t="s">
        <v>352</v>
      </c>
    </row>
    <row r="4" spans="1:4" ht="15.75" customHeight="1" x14ac:dyDescent="0.2">
      <c r="A4" s="92" t="s">
        <v>353</v>
      </c>
      <c r="B4" s="3" t="s">
        <v>12</v>
      </c>
      <c r="C4" s="4">
        <v>48000</v>
      </c>
    </row>
    <row r="5" spans="1:4" ht="15.75" customHeight="1" x14ac:dyDescent="0.2">
      <c r="A5" s="93"/>
      <c r="B5" s="6" t="s">
        <v>14</v>
      </c>
      <c r="C5" s="7">
        <f>(C4)*2*0.95</f>
        <v>91200</v>
      </c>
    </row>
    <row r="6" spans="1:4" ht="15.75" customHeight="1" x14ac:dyDescent="0.2">
      <c r="A6" s="94"/>
      <c r="B6" s="6" t="s">
        <v>15</v>
      </c>
      <c r="C6" s="7">
        <f>(C4)</f>
        <v>48000</v>
      </c>
    </row>
    <row r="7" spans="1:4" ht="15.75" customHeight="1" x14ac:dyDescent="0.2">
      <c r="A7" s="92" t="s">
        <v>354</v>
      </c>
      <c r="B7" s="3" t="s">
        <v>12</v>
      </c>
      <c r="C7" s="4">
        <f>C4*1.05</f>
        <v>50400</v>
      </c>
    </row>
    <row r="8" spans="1:4" ht="15.75" customHeight="1" x14ac:dyDescent="0.2">
      <c r="A8" s="93"/>
      <c r="B8" s="6" t="s">
        <v>14</v>
      </c>
      <c r="C8" s="7">
        <f>(C7)*2*0.95</f>
        <v>95760</v>
      </c>
    </row>
    <row r="9" spans="1:4" ht="15.75" customHeight="1" x14ac:dyDescent="0.2">
      <c r="A9" s="94"/>
      <c r="B9" s="6" t="s">
        <v>15</v>
      </c>
      <c r="C9" s="7">
        <f>(C7)</f>
        <v>50400</v>
      </c>
    </row>
    <row r="10" spans="1:4" ht="15.75" customHeight="1" x14ac:dyDescent="0.2">
      <c r="A10" s="92" t="s">
        <v>278</v>
      </c>
      <c r="B10" s="3" t="s">
        <v>12</v>
      </c>
      <c r="C10" s="4">
        <f>C7*1.05</f>
        <v>52920</v>
      </c>
    </row>
    <row r="11" spans="1:4" ht="15.75" customHeight="1" x14ac:dyDescent="0.2">
      <c r="A11" s="93"/>
      <c r="B11" s="6" t="s">
        <v>14</v>
      </c>
      <c r="C11" s="7">
        <f>(C10)*2*0.95</f>
        <v>100548</v>
      </c>
    </row>
    <row r="12" spans="1:4" ht="15.75" customHeight="1" x14ac:dyDescent="0.2">
      <c r="A12" s="94"/>
      <c r="B12" s="6" t="s">
        <v>15</v>
      </c>
      <c r="C12" s="7">
        <f>(C10)</f>
        <v>52920</v>
      </c>
    </row>
    <row r="13" spans="1:4" ht="15.75" customHeight="1" x14ac:dyDescent="0.2">
      <c r="A13" s="76" t="s">
        <v>19</v>
      </c>
      <c r="B13" s="75"/>
      <c r="C13" s="9">
        <f>SUM(C5,C8,C11)</f>
        <v>287508</v>
      </c>
    </row>
    <row r="14" spans="1:4" ht="15.75" customHeight="1" x14ac:dyDescent="0.2">
      <c r="A14" s="77" t="s">
        <v>20</v>
      </c>
      <c r="B14" s="78"/>
      <c r="C14" s="11" t="s">
        <v>21</v>
      </c>
      <c r="D14" s="12">
        <v>10000</v>
      </c>
    </row>
    <row r="15" spans="1:4" ht="15.75" customHeight="1" x14ac:dyDescent="0.2">
      <c r="A15" s="79"/>
      <c r="B15" s="80"/>
      <c r="C15" s="11" t="s">
        <v>22</v>
      </c>
      <c r="D15" s="12">
        <v>5000</v>
      </c>
    </row>
    <row r="16" spans="1:4" ht="15.75" customHeight="1" x14ac:dyDescent="0.2">
      <c r="A16" s="81"/>
      <c r="B16" s="82"/>
      <c r="C16" s="10" t="s">
        <v>23</v>
      </c>
      <c r="D16" s="12">
        <v>5000</v>
      </c>
    </row>
    <row r="17" spans="1:7" ht="15.75" customHeight="1" x14ac:dyDescent="0.2">
      <c r="A17" s="89" t="s">
        <v>24</v>
      </c>
      <c r="B17" s="78"/>
      <c r="C17" s="13" t="s">
        <v>25</v>
      </c>
      <c r="D17" s="12">
        <v>20500</v>
      </c>
    </row>
    <row r="18" spans="1:7" ht="15.75" customHeight="1" x14ac:dyDescent="0.2">
      <c r="A18" s="79"/>
      <c r="B18" s="80"/>
      <c r="C18" s="14" t="s">
        <v>26</v>
      </c>
      <c r="D18" s="15">
        <v>11250</v>
      </c>
    </row>
    <row r="19" spans="1:7" ht="15.75" customHeight="1" x14ac:dyDescent="0.2">
      <c r="A19" s="73" t="s">
        <v>27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73" t="s">
        <v>28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95" t="s">
        <v>29</v>
      </c>
      <c r="B21" s="74"/>
      <c r="C21" s="74"/>
      <c r="D21" s="74"/>
      <c r="E21" s="74"/>
      <c r="F21" s="74"/>
      <c r="G21" s="75"/>
    </row>
    <row r="22" spans="1:7" ht="15.75" customHeight="1" x14ac:dyDescent="0.2">
      <c r="A22" s="95" t="s">
        <v>30</v>
      </c>
      <c r="B22" s="74"/>
      <c r="C22" s="74"/>
      <c r="D22" s="74"/>
      <c r="E22" s="74"/>
      <c r="F22" s="74"/>
      <c r="G22" s="75"/>
    </row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A17:B18"/>
    <mergeCell ref="A19:G19"/>
    <mergeCell ref="A20:G20"/>
    <mergeCell ref="A21:G21"/>
    <mergeCell ref="A22:G22"/>
    <mergeCell ref="A13:B13"/>
    <mergeCell ref="A14:B16"/>
    <mergeCell ref="A1:C1"/>
    <mergeCell ref="A2:C2"/>
    <mergeCell ref="A4:A6"/>
    <mergeCell ref="A7:A9"/>
    <mergeCell ref="A10:A12"/>
  </mergeCells>
  <pageMargins left="0.7" right="0.7" top="0.75" bottom="0.75" header="0" footer="0"/>
  <pageSetup orientation="landscape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6" t="s">
        <v>355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356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92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1000"/>
  <sheetViews>
    <sheetView workbookViewId="0">
      <selection sqref="A1:H1"/>
    </sheetView>
  </sheetViews>
  <sheetFormatPr baseColWidth="10" defaultColWidth="11.1640625" defaultRowHeight="15" customHeight="1" x14ac:dyDescent="0.2"/>
  <cols>
    <col min="1" max="2" width="10.6640625" customWidth="1"/>
    <col min="3" max="3" width="15.33203125" customWidth="1"/>
    <col min="4" max="8" width="10.6640625" customWidth="1"/>
    <col min="9" max="26" width="11.1640625" customWidth="1"/>
  </cols>
  <sheetData>
    <row r="1" spans="1:8" ht="15.75" customHeight="1" x14ac:dyDescent="0.2">
      <c r="A1" s="96" t="s">
        <v>357</v>
      </c>
      <c r="B1" s="74"/>
      <c r="C1" s="74"/>
      <c r="D1" s="74"/>
      <c r="E1" s="74"/>
      <c r="F1" s="74"/>
      <c r="G1" s="74"/>
      <c r="H1" s="75"/>
    </row>
    <row r="2" spans="1:8" ht="48" customHeight="1" x14ac:dyDescent="0.2">
      <c r="A2" s="96" t="s">
        <v>358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ht="15.75" customHeight="1" x14ac:dyDescent="0.2">
      <c r="A4" s="92" t="s">
        <v>11</v>
      </c>
      <c r="B4" s="3" t="s">
        <v>12</v>
      </c>
      <c r="C4" s="16">
        <v>65700</v>
      </c>
      <c r="D4" s="16">
        <f t="shared" ref="D4:H4" si="0">C4</f>
        <v>65700</v>
      </c>
      <c r="E4" s="16">
        <f t="shared" si="0"/>
        <v>65700</v>
      </c>
      <c r="F4" s="16">
        <f t="shared" si="0"/>
        <v>65700</v>
      </c>
      <c r="G4" s="16">
        <f t="shared" si="0"/>
        <v>65700</v>
      </c>
      <c r="H4" s="16">
        <f t="shared" si="0"/>
        <v>65700</v>
      </c>
    </row>
    <row r="5" spans="1:8" ht="15.75" customHeight="1" x14ac:dyDescent="0.2">
      <c r="A5" s="93"/>
      <c r="B5" s="3" t="s">
        <v>13</v>
      </c>
      <c r="C5" s="17">
        <v>21000</v>
      </c>
      <c r="D5" s="17">
        <v>12600</v>
      </c>
      <c r="E5" s="17">
        <v>8400</v>
      </c>
      <c r="F5" s="17">
        <v>6300</v>
      </c>
      <c r="G5" s="17">
        <v>4200</v>
      </c>
      <c r="H5" s="17">
        <v>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84930</v>
      </c>
      <c r="D6" s="7">
        <f t="shared" si="1"/>
        <v>100890</v>
      </c>
      <c r="E6" s="7">
        <f t="shared" si="1"/>
        <v>108870</v>
      </c>
      <c r="F6" s="7">
        <f t="shared" si="1"/>
        <v>112860</v>
      </c>
      <c r="G6" s="7">
        <f t="shared" si="1"/>
        <v>116850</v>
      </c>
      <c r="H6" s="7">
        <f t="shared" si="1"/>
        <v>124830</v>
      </c>
    </row>
    <row r="7" spans="1:8" ht="15.75" customHeight="1" x14ac:dyDescent="0.2">
      <c r="A7" s="94"/>
      <c r="B7" s="6" t="s">
        <v>15</v>
      </c>
      <c r="C7" s="7">
        <f t="shared" ref="C7:H7" si="2">(C4-C5)</f>
        <v>44700</v>
      </c>
      <c r="D7" s="7">
        <f t="shared" si="2"/>
        <v>53100</v>
      </c>
      <c r="E7" s="7">
        <f t="shared" si="2"/>
        <v>57300</v>
      </c>
      <c r="F7" s="7">
        <f t="shared" si="2"/>
        <v>59400</v>
      </c>
      <c r="G7" s="7">
        <f t="shared" si="2"/>
        <v>61500</v>
      </c>
      <c r="H7" s="7">
        <f t="shared" si="2"/>
        <v>65700</v>
      </c>
    </row>
    <row r="8" spans="1:8" ht="15.75" customHeight="1" x14ac:dyDescent="0.2">
      <c r="A8" s="92" t="s">
        <v>16</v>
      </c>
      <c r="B8" s="3" t="s">
        <v>12</v>
      </c>
      <c r="C8" s="16">
        <v>68000</v>
      </c>
      <c r="D8" s="4">
        <f t="shared" ref="D8:H8" si="3">C8</f>
        <v>68000</v>
      </c>
      <c r="E8" s="4">
        <f t="shared" si="3"/>
        <v>68000</v>
      </c>
      <c r="F8" s="4">
        <f t="shared" si="3"/>
        <v>68000</v>
      </c>
      <c r="G8" s="4">
        <f t="shared" si="3"/>
        <v>68000</v>
      </c>
      <c r="H8" s="4">
        <f t="shared" si="3"/>
        <v>68000</v>
      </c>
    </row>
    <row r="9" spans="1:8" ht="15.75" customHeight="1" x14ac:dyDescent="0.2">
      <c r="A9" s="93"/>
      <c r="B9" s="3" t="s">
        <v>13</v>
      </c>
      <c r="C9" s="4">
        <f t="shared" ref="C9:H9" si="4">C5</f>
        <v>21000</v>
      </c>
      <c r="D9" s="4">
        <f t="shared" si="4"/>
        <v>12600</v>
      </c>
      <c r="E9" s="4">
        <f t="shared" si="4"/>
        <v>8400</v>
      </c>
      <c r="F9" s="4">
        <f t="shared" si="4"/>
        <v>6300</v>
      </c>
      <c r="G9" s="4">
        <f t="shared" si="4"/>
        <v>4200</v>
      </c>
      <c r="H9" s="4">
        <f t="shared" si="4"/>
        <v>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89300</v>
      </c>
      <c r="D10" s="7">
        <f t="shared" si="5"/>
        <v>105260</v>
      </c>
      <c r="E10" s="7">
        <f t="shared" si="5"/>
        <v>113240</v>
      </c>
      <c r="F10" s="7">
        <f t="shared" si="5"/>
        <v>117230</v>
      </c>
      <c r="G10" s="7">
        <f t="shared" si="5"/>
        <v>121220</v>
      </c>
      <c r="H10" s="7">
        <f t="shared" si="5"/>
        <v>129200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47000</v>
      </c>
      <c r="D11" s="7">
        <f t="shared" si="6"/>
        <v>55400</v>
      </c>
      <c r="E11" s="7">
        <f t="shared" si="6"/>
        <v>59600</v>
      </c>
      <c r="F11" s="7">
        <f t="shared" si="6"/>
        <v>61700</v>
      </c>
      <c r="G11" s="7">
        <f t="shared" si="6"/>
        <v>63800</v>
      </c>
      <c r="H11" s="7">
        <f t="shared" si="6"/>
        <v>68000</v>
      </c>
    </row>
    <row r="12" spans="1:8" ht="15.75" customHeight="1" x14ac:dyDescent="0.2">
      <c r="A12" s="92" t="s">
        <v>17</v>
      </c>
      <c r="B12" s="3" t="s">
        <v>12</v>
      </c>
      <c r="C12" s="4">
        <f>C8*1.05</f>
        <v>71400</v>
      </c>
      <c r="D12" s="4">
        <f t="shared" ref="D12:H12" si="7">C12</f>
        <v>71400</v>
      </c>
      <c r="E12" s="4">
        <f t="shared" si="7"/>
        <v>71400</v>
      </c>
      <c r="F12" s="4">
        <f t="shared" si="7"/>
        <v>71400</v>
      </c>
      <c r="G12" s="4">
        <f t="shared" si="7"/>
        <v>71400</v>
      </c>
      <c r="H12" s="4">
        <f t="shared" si="7"/>
        <v>71400</v>
      </c>
    </row>
    <row r="13" spans="1:8" ht="15.75" customHeight="1" x14ac:dyDescent="0.2">
      <c r="A13" s="93"/>
      <c r="B13" s="3" t="s">
        <v>13</v>
      </c>
      <c r="C13" s="4">
        <f t="shared" ref="C13:H13" si="8">C5</f>
        <v>21000</v>
      </c>
      <c r="D13" s="4">
        <f t="shared" si="8"/>
        <v>12600</v>
      </c>
      <c r="E13" s="4">
        <f t="shared" si="8"/>
        <v>8400</v>
      </c>
      <c r="F13" s="4">
        <f t="shared" si="8"/>
        <v>6300</v>
      </c>
      <c r="G13" s="4">
        <f t="shared" si="8"/>
        <v>4200</v>
      </c>
      <c r="H13" s="4">
        <f t="shared" si="8"/>
        <v>0</v>
      </c>
    </row>
    <row r="14" spans="1:8" ht="15.75" customHeight="1" x14ac:dyDescent="0.2">
      <c r="A14" s="93"/>
      <c r="B14" s="6" t="s">
        <v>14</v>
      </c>
      <c r="C14" s="7">
        <f t="shared" ref="C14:H14" si="9">(C12-C13)*2*0.95</f>
        <v>95760</v>
      </c>
      <c r="D14" s="7">
        <f t="shared" si="9"/>
        <v>111720</v>
      </c>
      <c r="E14" s="7">
        <f t="shared" si="9"/>
        <v>119700</v>
      </c>
      <c r="F14" s="7">
        <f t="shared" si="9"/>
        <v>123690</v>
      </c>
      <c r="G14" s="7">
        <f t="shared" si="9"/>
        <v>127680</v>
      </c>
      <c r="H14" s="7">
        <f t="shared" si="9"/>
        <v>135660</v>
      </c>
    </row>
    <row r="15" spans="1:8" ht="15.75" customHeight="1" x14ac:dyDescent="0.2">
      <c r="A15" s="94"/>
      <c r="B15" s="6" t="s">
        <v>15</v>
      </c>
      <c r="C15" s="7">
        <f t="shared" ref="C15:H15" si="10">(C12-C13)</f>
        <v>50400</v>
      </c>
      <c r="D15" s="7">
        <f t="shared" si="10"/>
        <v>58800</v>
      </c>
      <c r="E15" s="7">
        <f t="shared" si="10"/>
        <v>63000</v>
      </c>
      <c r="F15" s="7">
        <f t="shared" si="10"/>
        <v>65100</v>
      </c>
      <c r="G15" s="7">
        <f t="shared" si="10"/>
        <v>67200</v>
      </c>
      <c r="H15" s="7">
        <f t="shared" si="10"/>
        <v>71400</v>
      </c>
    </row>
    <row r="16" spans="1:8" ht="15.75" customHeight="1" x14ac:dyDescent="0.2">
      <c r="A16" s="92" t="s">
        <v>97</v>
      </c>
      <c r="B16" s="3" t="s">
        <v>12</v>
      </c>
      <c r="C16" s="4">
        <f>C12*1.05</f>
        <v>74970</v>
      </c>
      <c r="D16" s="4">
        <f t="shared" ref="D16:H16" si="11">C16</f>
        <v>74970</v>
      </c>
      <c r="E16" s="4">
        <f t="shared" si="11"/>
        <v>74970</v>
      </c>
      <c r="F16" s="4">
        <f t="shared" si="11"/>
        <v>74970</v>
      </c>
      <c r="G16" s="4">
        <f t="shared" si="11"/>
        <v>74970</v>
      </c>
      <c r="H16" s="4">
        <f t="shared" si="11"/>
        <v>74970</v>
      </c>
    </row>
    <row r="17" spans="1:8" ht="15.75" customHeight="1" x14ac:dyDescent="0.2">
      <c r="A17" s="93"/>
      <c r="B17" s="3" t="s">
        <v>13</v>
      </c>
      <c r="C17" s="4">
        <f t="shared" ref="C17:H17" si="12">C9</f>
        <v>21000</v>
      </c>
      <c r="D17" s="4">
        <f t="shared" si="12"/>
        <v>12600</v>
      </c>
      <c r="E17" s="4">
        <f t="shared" si="12"/>
        <v>8400</v>
      </c>
      <c r="F17" s="4">
        <f t="shared" si="12"/>
        <v>6300</v>
      </c>
      <c r="G17" s="4">
        <f t="shared" si="12"/>
        <v>4200</v>
      </c>
      <c r="H17" s="4">
        <f t="shared" si="12"/>
        <v>0</v>
      </c>
    </row>
    <row r="18" spans="1:8" ht="15.75" customHeight="1" x14ac:dyDescent="0.2">
      <c r="A18" s="93"/>
      <c r="B18" s="6" t="s">
        <v>14</v>
      </c>
      <c r="C18" s="7">
        <f t="shared" ref="C18:H18" si="13">(C16-C17)*2*0.95</f>
        <v>102543</v>
      </c>
      <c r="D18" s="7">
        <f t="shared" si="13"/>
        <v>118503</v>
      </c>
      <c r="E18" s="7">
        <f t="shared" si="13"/>
        <v>126483</v>
      </c>
      <c r="F18" s="7">
        <f t="shared" si="13"/>
        <v>130473</v>
      </c>
      <c r="G18" s="7">
        <f t="shared" si="13"/>
        <v>134463</v>
      </c>
      <c r="H18" s="7">
        <f t="shared" si="13"/>
        <v>142443</v>
      </c>
    </row>
    <row r="19" spans="1:8" ht="15.75" customHeight="1" x14ac:dyDescent="0.2">
      <c r="A19" s="94"/>
      <c r="B19" s="6" t="s">
        <v>15</v>
      </c>
      <c r="C19" s="7">
        <f t="shared" ref="C19:H19" si="14">(C16-C17)</f>
        <v>53970</v>
      </c>
      <c r="D19" s="7">
        <f t="shared" si="14"/>
        <v>62370</v>
      </c>
      <c r="E19" s="7">
        <f t="shared" si="14"/>
        <v>66570</v>
      </c>
      <c r="F19" s="7">
        <f t="shared" si="14"/>
        <v>68670</v>
      </c>
      <c r="G19" s="7">
        <f t="shared" si="14"/>
        <v>70770</v>
      </c>
      <c r="H19" s="7">
        <f t="shared" si="14"/>
        <v>74970</v>
      </c>
    </row>
    <row r="20" spans="1:8" ht="15.75" customHeight="1" x14ac:dyDescent="0.2">
      <c r="A20" s="76" t="s">
        <v>19</v>
      </c>
      <c r="B20" s="75"/>
      <c r="C20" s="9">
        <f t="shared" ref="C20:H20" si="15">SUM(C6,C10,C14,C18)</f>
        <v>372533</v>
      </c>
      <c r="D20" s="9">
        <f t="shared" si="15"/>
        <v>436373</v>
      </c>
      <c r="E20" s="9">
        <f t="shared" si="15"/>
        <v>468293</v>
      </c>
      <c r="F20" s="9">
        <f t="shared" si="15"/>
        <v>484253</v>
      </c>
      <c r="G20" s="9">
        <f t="shared" si="15"/>
        <v>500213</v>
      </c>
      <c r="H20" s="9">
        <f t="shared" si="15"/>
        <v>532133</v>
      </c>
    </row>
    <row r="21" spans="1:8" ht="15.75" customHeight="1" x14ac:dyDescent="0.2">
      <c r="A21" s="77" t="s">
        <v>20</v>
      </c>
      <c r="B21" s="78"/>
      <c r="C21" s="83" t="s">
        <v>21</v>
      </c>
      <c r="D21" s="75"/>
      <c r="E21" s="10">
        <v>10000</v>
      </c>
      <c r="F21" s="84"/>
      <c r="G21" s="85"/>
      <c r="H21" s="78"/>
    </row>
    <row r="22" spans="1:8" ht="15.75" customHeight="1" x14ac:dyDescent="0.2">
      <c r="A22" s="79"/>
      <c r="B22" s="80"/>
      <c r="C22" s="83" t="s">
        <v>22</v>
      </c>
      <c r="D22" s="75"/>
      <c r="E22" s="10">
        <v>5000</v>
      </c>
      <c r="F22" s="79"/>
      <c r="G22" s="86"/>
      <c r="H22" s="80"/>
    </row>
    <row r="23" spans="1:8" ht="15.75" customHeight="1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ht="15.75" customHeight="1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ht="15.75" customHeight="1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ht="15.75" customHeight="1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ht="15.75" customHeight="1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ht="15.75" customHeight="1" x14ac:dyDescent="0.2">
      <c r="A28" s="95" t="s">
        <v>29</v>
      </c>
      <c r="B28" s="74"/>
      <c r="C28" s="74"/>
      <c r="D28" s="74"/>
      <c r="E28" s="74"/>
      <c r="F28" s="74"/>
      <c r="G28" s="74"/>
      <c r="H28" s="75"/>
    </row>
    <row r="29" spans="1:8" ht="15.75" customHeight="1" x14ac:dyDescent="0.2">
      <c r="A29" s="95" t="s">
        <v>30</v>
      </c>
      <c r="B29" s="74"/>
      <c r="C29" s="74"/>
      <c r="D29" s="74"/>
      <c r="E29" s="74"/>
      <c r="F29" s="74"/>
      <c r="G29" s="74"/>
      <c r="H29" s="75"/>
    </row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">
    <mergeCell ref="A1:H1"/>
    <mergeCell ref="A2:H2"/>
    <mergeCell ref="A4:A7"/>
    <mergeCell ref="A8:A11"/>
    <mergeCell ref="A12:A15"/>
    <mergeCell ref="A16:A19"/>
    <mergeCell ref="A20:B20"/>
    <mergeCell ref="C25:D25"/>
    <mergeCell ref="A26:H26"/>
    <mergeCell ref="A27:H27"/>
    <mergeCell ref="A28:H28"/>
    <mergeCell ref="A29:H29"/>
    <mergeCell ref="A21:B23"/>
    <mergeCell ref="C21:D21"/>
    <mergeCell ref="F21:H25"/>
    <mergeCell ref="C22:D22"/>
    <mergeCell ref="C23:D23"/>
    <mergeCell ref="A24:B25"/>
    <mergeCell ref="C24:D24"/>
  </mergeCells>
  <pageMargins left="0.7" right="0.7" top="0.75" bottom="0.75" header="0" footer="0"/>
  <pageSetup orientation="landscape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1000"/>
  <sheetViews>
    <sheetView workbookViewId="0">
      <selection activeCell="B10" sqref="B10"/>
    </sheetView>
  </sheetViews>
  <sheetFormatPr baseColWidth="10" defaultColWidth="11.1640625" defaultRowHeight="15" customHeight="1" x14ac:dyDescent="0.2"/>
  <cols>
    <col min="1" max="1" width="10.6640625" customWidth="1"/>
    <col min="2" max="2" width="20" customWidth="1"/>
    <col min="3" max="3" width="15.5" customWidth="1"/>
    <col min="4" max="8" width="22" customWidth="1"/>
    <col min="9" max="26" width="11.1640625" customWidth="1"/>
  </cols>
  <sheetData>
    <row r="1" spans="1:8" ht="15.75" customHeight="1" x14ac:dyDescent="0.2">
      <c r="A1" s="90" t="s">
        <v>359</v>
      </c>
      <c r="B1" s="74"/>
      <c r="C1" s="74"/>
      <c r="D1" s="74"/>
      <c r="E1" s="74"/>
      <c r="F1" s="74"/>
      <c r="G1" s="74"/>
      <c r="H1" s="75"/>
    </row>
    <row r="2" spans="1:8" ht="46.5" customHeight="1" x14ac:dyDescent="0.2">
      <c r="A2" s="91" t="s">
        <v>360</v>
      </c>
      <c r="B2" s="74"/>
      <c r="C2" s="74"/>
      <c r="D2" s="74"/>
      <c r="E2" s="74"/>
      <c r="F2" s="74"/>
      <c r="G2" s="74"/>
      <c r="H2" s="75"/>
    </row>
    <row r="3" spans="1:8" ht="15.75" customHeight="1" x14ac:dyDescent="0.2">
      <c r="A3" s="1" t="s">
        <v>2</v>
      </c>
      <c r="B3" s="1" t="s">
        <v>3</v>
      </c>
      <c r="C3" s="1" t="s">
        <v>361</v>
      </c>
      <c r="D3" s="1" t="s">
        <v>362</v>
      </c>
      <c r="E3" s="1" t="s">
        <v>363</v>
      </c>
      <c r="F3" s="1" t="s">
        <v>364</v>
      </c>
      <c r="G3" s="1" t="s">
        <v>365</v>
      </c>
      <c r="H3" s="1" t="s">
        <v>366</v>
      </c>
    </row>
    <row r="4" spans="1:8" ht="15.75" customHeight="1" x14ac:dyDescent="0.2">
      <c r="A4" s="92" t="s">
        <v>11</v>
      </c>
      <c r="B4" s="3" t="s">
        <v>12</v>
      </c>
      <c r="C4" s="45">
        <v>192000</v>
      </c>
      <c r="D4" s="45">
        <f t="shared" ref="D4:H4" si="0">C4</f>
        <v>192000</v>
      </c>
      <c r="E4" s="45">
        <f t="shared" si="0"/>
        <v>192000</v>
      </c>
      <c r="F4" s="45">
        <f t="shared" si="0"/>
        <v>192000</v>
      </c>
      <c r="G4" s="45">
        <f t="shared" si="0"/>
        <v>192000</v>
      </c>
      <c r="H4" s="45">
        <f t="shared" si="0"/>
        <v>192000</v>
      </c>
    </row>
    <row r="5" spans="1:8" ht="15.75" customHeight="1" x14ac:dyDescent="0.2">
      <c r="A5" s="93"/>
      <c r="B5" s="3" t="s">
        <v>367</v>
      </c>
      <c r="C5" s="45">
        <v>75000</v>
      </c>
      <c r="D5" s="45">
        <v>60000</v>
      </c>
      <c r="E5" s="45">
        <v>50000</v>
      </c>
      <c r="F5" s="45">
        <v>45000</v>
      </c>
      <c r="G5" s="45">
        <v>40000</v>
      </c>
      <c r="H5" s="45">
        <v>35000</v>
      </c>
    </row>
    <row r="6" spans="1:8" ht="15.75" customHeight="1" x14ac:dyDescent="0.2">
      <c r="A6" s="93"/>
      <c r="B6" s="6" t="s">
        <v>14</v>
      </c>
      <c r="C6" s="7">
        <f t="shared" ref="C6:H6" si="1">(C4-C5)*2*0.95</f>
        <v>222300</v>
      </c>
      <c r="D6" s="7">
        <f t="shared" si="1"/>
        <v>250800</v>
      </c>
      <c r="E6" s="7">
        <f t="shared" si="1"/>
        <v>269800</v>
      </c>
      <c r="F6" s="7">
        <f t="shared" si="1"/>
        <v>279300</v>
      </c>
      <c r="G6" s="7">
        <f t="shared" si="1"/>
        <v>288800</v>
      </c>
      <c r="H6" s="7">
        <f t="shared" si="1"/>
        <v>298300</v>
      </c>
    </row>
    <row r="7" spans="1:8" ht="15.75" customHeight="1" x14ac:dyDescent="0.2">
      <c r="A7" s="94"/>
      <c r="B7" s="6" t="s">
        <v>15</v>
      </c>
      <c r="C7" s="7">
        <f t="shared" ref="C7:H7" si="2">(C4-C5)</f>
        <v>117000</v>
      </c>
      <c r="D7" s="7">
        <f t="shared" si="2"/>
        <v>132000</v>
      </c>
      <c r="E7" s="7">
        <f t="shared" si="2"/>
        <v>142000</v>
      </c>
      <c r="F7" s="7">
        <f t="shared" si="2"/>
        <v>147000</v>
      </c>
      <c r="G7" s="7">
        <f t="shared" si="2"/>
        <v>152000</v>
      </c>
      <c r="H7" s="7">
        <f t="shared" si="2"/>
        <v>157000</v>
      </c>
    </row>
    <row r="8" spans="1:8" ht="15.75" customHeight="1" x14ac:dyDescent="0.2">
      <c r="A8" s="92" t="s">
        <v>16</v>
      </c>
      <c r="B8" s="3" t="s">
        <v>12</v>
      </c>
      <c r="C8" s="4">
        <v>200000</v>
      </c>
      <c r="D8" s="4">
        <f t="shared" ref="D8:H8" si="3">C8</f>
        <v>200000</v>
      </c>
      <c r="E8" s="4">
        <f t="shared" si="3"/>
        <v>200000</v>
      </c>
      <c r="F8" s="4">
        <f t="shared" si="3"/>
        <v>200000</v>
      </c>
      <c r="G8" s="4">
        <f t="shared" si="3"/>
        <v>200000</v>
      </c>
      <c r="H8" s="4">
        <f t="shared" si="3"/>
        <v>200000</v>
      </c>
    </row>
    <row r="9" spans="1:8" ht="15.75" customHeight="1" x14ac:dyDescent="0.2">
      <c r="A9" s="93"/>
      <c r="B9" s="3" t="s">
        <v>367</v>
      </c>
      <c r="C9" s="45">
        <f t="shared" ref="C9:H9" si="4">C5</f>
        <v>75000</v>
      </c>
      <c r="D9" s="45">
        <f t="shared" si="4"/>
        <v>60000</v>
      </c>
      <c r="E9" s="45">
        <f t="shared" si="4"/>
        <v>50000</v>
      </c>
      <c r="F9" s="45">
        <f t="shared" si="4"/>
        <v>45000</v>
      </c>
      <c r="G9" s="45">
        <f t="shared" si="4"/>
        <v>40000</v>
      </c>
      <c r="H9" s="45">
        <f t="shared" si="4"/>
        <v>35000</v>
      </c>
    </row>
    <row r="10" spans="1:8" ht="15.75" customHeight="1" x14ac:dyDescent="0.2">
      <c r="A10" s="93"/>
      <c r="B10" s="6" t="s">
        <v>14</v>
      </c>
      <c r="C10" s="7">
        <f t="shared" ref="C10:H10" si="5">(C8-C9)*2*0.95</f>
        <v>237500</v>
      </c>
      <c r="D10" s="7">
        <f t="shared" si="5"/>
        <v>266000</v>
      </c>
      <c r="E10" s="7">
        <f t="shared" si="5"/>
        <v>285000</v>
      </c>
      <c r="F10" s="7">
        <f t="shared" si="5"/>
        <v>294500</v>
      </c>
      <c r="G10" s="7">
        <f t="shared" si="5"/>
        <v>304000</v>
      </c>
      <c r="H10" s="7">
        <f t="shared" si="5"/>
        <v>313500</v>
      </c>
    </row>
    <row r="11" spans="1:8" ht="15.75" customHeight="1" x14ac:dyDescent="0.2">
      <c r="A11" s="94"/>
      <c r="B11" s="6" t="s">
        <v>15</v>
      </c>
      <c r="C11" s="7">
        <f t="shared" ref="C11:H11" si="6">(C8-C9)</f>
        <v>125000</v>
      </c>
      <c r="D11" s="7">
        <f t="shared" si="6"/>
        <v>140000</v>
      </c>
      <c r="E11" s="7">
        <f t="shared" si="6"/>
        <v>150000</v>
      </c>
      <c r="F11" s="7">
        <f t="shared" si="6"/>
        <v>155000</v>
      </c>
      <c r="G11" s="7">
        <f t="shared" si="6"/>
        <v>160000</v>
      </c>
      <c r="H11" s="7">
        <f t="shared" si="6"/>
        <v>165000</v>
      </c>
    </row>
    <row r="12" spans="1:8" ht="15.75" customHeight="1" x14ac:dyDescent="0.2">
      <c r="A12" s="76" t="s">
        <v>19</v>
      </c>
      <c r="B12" s="75"/>
      <c r="C12" s="9">
        <f t="shared" ref="C12:H12" si="7">SUM(C6,C10)</f>
        <v>459800</v>
      </c>
      <c r="D12" s="9">
        <f t="shared" si="7"/>
        <v>516800</v>
      </c>
      <c r="E12" s="9">
        <f t="shared" si="7"/>
        <v>554800</v>
      </c>
      <c r="F12" s="9">
        <f t="shared" si="7"/>
        <v>573800</v>
      </c>
      <c r="G12" s="9">
        <f t="shared" si="7"/>
        <v>592800</v>
      </c>
      <c r="H12" s="9">
        <f t="shared" si="7"/>
        <v>611800</v>
      </c>
    </row>
    <row r="13" spans="1:8" ht="15.75" customHeight="1" x14ac:dyDescent="0.2">
      <c r="A13" s="170" t="s">
        <v>20</v>
      </c>
      <c r="B13" s="78"/>
      <c r="C13" s="83" t="s">
        <v>21</v>
      </c>
      <c r="D13" s="75"/>
      <c r="E13" s="10">
        <v>15000</v>
      </c>
      <c r="F13" s="84"/>
      <c r="G13" s="85"/>
      <c r="H13" s="85"/>
    </row>
    <row r="14" spans="1:8" ht="24" customHeight="1" x14ac:dyDescent="0.2">
      <c r="A14" s="171"/>
      <c r="B14" s="80"/>
      <c r="C14" s="83" t="s">
        <v>22</v>
      </c>
      <c r="D14" s="75"/>
      <c r="E14" s="10">
        <v>5000</v>
      </c>
      <c r="F14" s="79"/>
      <c r="G14" s="86"/>
      <c r="H14" s="86"/>
    </row>
    <row r="15" spans="1:8" ht="15.75" customHeight="1" x14ac:dyDescent="0.2">
      <c r="A15" s="87"/>
      <c r="B15" s="82"/>
      <c r="C15" s="88" t="s">
        <v>23</v>
      </c>
      <c r="D15" s="75"/>
      <c r="E15" s="10">
        <v>5000</v>
      </c>
      <c r="F15" s="79"/>
      <c r="G15" s="86"/>
      <c r="H15" s="86"/>
    </row>
    <row r="16" spans="1:8" ht="15.75" customHeight="1" x14ac:dyDescent="0.2">
      <c r="A16" s="89" t="s">
        <v>24</v>
      </c>
      <c r="B16" s="78"/>
      <c r="C16" s="76" t="s">
        <v>25</v>
      </c>
      <c r="D16" s="75"/>
      <c r="E16" s="10">
        <v>20500</v>
      </c>
      <c r="F16" s="79"/>
      <c r="G16" s="86"/>
      <c r="H16" s="86"/>
    </row>
    <row r="17" spans="1:8" ht="15.75" customHeight="1" x14ac:dyDescent="0.2">
      <c r="A17" s="81"/>
      <c r="B17" s="82"/>
      <c r="C17" s="76" t="s">
        <v>26</v>
      </c>
      <c r="D17" s="75"/>
      <c r="E17" s="10">
        <v>10750</v>
      </c>
      <c r="F17" s="79"/>
      <c r="G17" s="86"/>
      <c r="H17" s="86"/>
    </row>
    <row r="18" spans="1:8" ht="15.75" customHeight="1" x14ac:dyDescent="0.2">
      <c r="A18" s="73" t="s">
        <v>27</v>
      </c>
      <c r="B18" s="74"/>
      <c r="C18" s="74"/>
      <c r="D18" s="74"/>
      <c r="E18" s="75"/>
      <c r="F18" s="79"/>
      <c r="G18" s="86"/>
      <c r="H18" s="86"/>
    </row>
    <row r="19" spans="1:8" ht="15.75" customHeight="1" x14ac:dyDescent="0.2">
      <c r="A19" s="73" t="s">
        <v>28</v>
      </c>
      <c r="B19" s="74"/>
      <c r="C19" s="74"/>
      <c r="D19" s="74"/>
      <c r="E19" s="75"/>
      <c r="F19" s="79"/>
      <c r="G19" s="86"/>
      <c r="H19" s="86"/>
    </row>
    <row r="20" spans="1:8" ht="15.75" customHeight="1" x14ac:dyDescent="0.2">
      <c r="A20" s="95" t="s">
        <v>29</v>
      </c>
      <c r="B20" s="74"/>
      <c r="C20" s="74"/>
      <c r="D20" s="74"/>
      <c r="E20" s="75"/>
      <c r="F20" s="79"/>
      <c r="G20" s="86"/>
      <c r="H20" s="86"/>
    </row>
    <row r="21" spans="1:8" ht="15.75" customHeight="1" x14ac:dyDescent="0.2">
      <c r="A21" s="95" t="s">
        <v>30</v>
      </c>
      <c r="B21" s="74"/>
      <c r="C21" s="74"/>
      <c r="D21" s="74"/>
      <c r="E21" s="75"/>
      <c r="F21" s="79"/>
      <c r="G21" s="86"/>
      <c r="H21" s="86"/>
    </row>
    <row r="22" spans="1:8" ht="15.75" customHeight="1" x14ac:dyDescent="0.2"/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A1:H1"/>
    <mergeCell ref="A2:H2"/>
    <mergeCell ref="A4:A7"/>
    <mergeCell ref="A8:A11"/>
    <mergeCell ref="A12:B12"/>
    <mergeCell ref="F13:H21"/>
    <mergeCell ref="C15:D15"/>
    <mergeCell ref="C13:D13"/>
    <mergeCell ref="C14:D14"/>
    <mergeCell ref="A13:B15"/>
    <mergeCell ref="A16:B17"/>
    <mergeCell ref="C16:D16"/>
    <mergeCell ref="C17:D17"/>
    <mergeCell ref="A18:E18"/>
    <mergeCell ref="A19:E19"/>
    <mergeCell ref="A20:E20"/>
    <mergeCell ref="A21:E21"/>
  </mergeCells>
  <pageMargins left="0.7" right="0.7" top="0.75" bottom="0.75" header="0" footer="0"/>
  <pageSetup orientation="landscape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1000"/>
  <sheetViews>
    <sheetView workbookViewId="0">
      <selection activeCell="J7" sqref="J7"/>
    </sheetView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90" t="s">
        <v>368</v>
      </c>
      <c r="B1" s="74"/>
      <c r="C1" s="74"/>
      <c r="D1" s="74"/>
      <c r="E1" s="74"/>
      <c r="F1" s="74"/>
      <c r="G1" s="75"/>
    </row>
    <row r="2" spans="1:7" ht="51.75" customHeight="1" x14ac:dyDescent="0.2">
      <c r="A2" s="91" t="s">
        <v>369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93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95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A13:B15"/>
    <mergeCell ref="C13:D13"/>
    <mergeCell ref="F13:G17"/>
    <mergeCell ref="C14:D14"/>
    <mergeCell ref="C15:D15"/>
    <mergeCell ref="A1:G1"/>
    <mergeCell ref="A2:G2"/>
    <mergeCell ref="A4:A7"/>
    <mergeCell ref="A8:A11"/>
    <mergeCell ref="A12:B12"/>
    <mergeCell ref="A21:G21"/>
    <mergeCell ref="A16:B17"/>
    <mergeCell ref="C16:D16"/>
    <mergeCell ref="C17:D17"/>
    <mergeCell ref="A18:G18"/>
    <mergeCell ref="A19:G19"/>
    <mergeCell ref="A20:G20"/>
  </mergeCells>
  <pageMargins left="0.7" right="0.7" top="0.75" bottom="0.75" header="0" footer="0"/>
  <pageSetup orientation="landscape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1000"/>
  <sheetViews>
    <sheetView workbookViewId="0">
      <selection sqref="A1:G1"/>
    </sheetView>
  </sheetViews>
  <sheetFormatPr baseColWidth="10" defaultColWidth="11.1640625" defaultRowHeight="15" customHeight="1" x14ac:dyDescent="0.2"/>
  <cols>
    <col min="1" max="1" width="21.5" customWidth="1"/>
    <col min="2" max="2" width="30.6640625" customWidth="1"/>
    <col min="3" max="3" width="15" customWidth="1"/>
    <col min="4" max="4" width="14.6640625" customWidth="1"/>
    <col min="5" max="6" width="15.6640625" customWidth="1"/>
    <col min="7" max="7" width="15.33203125" customWidth="1"/>
    <col min="8" max="26" width="11.1640625" customWidth="1"/>
  </cols>
  <sheetData>
    <row r="1" spans="1:7" ht="15.75" customHeight="1" x14ac:dyDescent="0.2">
      <c r="A1" s="90" t="s">
        <v>206</v>
      </c>
      <c r="B1" s="74"/>
      <c r="C1" s="74"/>
      <c r="D1" s="74"/>
      <c r="E1" s="74"/>
      <c r="F1" s="74"/>
      <c r="G1" s="75"/>
    </row>
    <row r="2" spans="1:7" ht="51.75" customHeight="1" x14ac:dyDescent="0.2">
      <c r="A2" s="91" t="s">
        <v>370</v>
      </c>
      <c r="B2" s="74"/>
      <c r="C2" s="74"/>
      <c r="D2" s="74"/>
      <c r="E2" s="74"/>
      <c r="F2" s="74"/>
      <c r="G2" s="75"/>
    </row>
    <row r="3" spans="1:7" ht="15.75" customHeight="1" x14ac:dyDescent="0.2">
      <c r="A3" s="1" t="s">
        <v>2</v>
      </c>
      <c r="B3" s="1" t="s">
        <v>3</v>
      </c>
      <c r="C3" s="2" t="s">
        <v>158</v>
      </c>
      <c r="D3" s="2" t="s">
        <v>159</v>
      </c>
      <c r="E3" s="2" t="s">
        <v>160</v>
      </c>
      <c r="F3" s="2" t="s">
        <v>208</v>
      </c>
      <c r="G3" s="2" t="s">
        <v>162</v>
      </c>
    </row>
    <row r="4" spans="1:7" ht="15.75" customHeight="1" x14ac:dyDescent="0.2">
      <c r="A4" s="92" t="s">
        <v>11</v>
      </c>
      <c r="B4" s="3" t="s">
        <v>12</v>
      </c>
      <c r="C4" s="16">
        <v>55700</v>
      </c>
      <c r="D4" s="16">
        <f t="shared" ref="D4:G4" si="0">C4</f>
        <v>55700</v>
      </c>
      <c r="E4" s="16">
        <f t="shared" si="0"/>
        <v>55700</v>
      </c>
      <c r="F4" s="16">
        <f t="shared" si="0"/>
        <v>55700</v>
      </c>
      <c r="G4" s="16">
        <f t="shared" si="0"/>
        <v>55700</v>
      </c>
    </row>
    <row r="5" spans="1:7" ht="15.75" customHeight="1" x14ac:dyDescent="0.2">
      <c r="A5" s="93"/>
      <c r="B5" s="3" t="s">
        <v>13</v>
      </c>
      <c r="C5" s="17">
        <v>8000</v>
      </c>
      <c r="D5" s="17">
        <v>6000</v>
      </c>
      <c r="E5" s="17">
        <v>4000</v>
      </c>
      <c r="F5" s="17">
        <v>2500</v>
      </c>
      <c r="G5" s="17">
        <v>0</v>
      </c>
    </row>
    <row r="6" spans="1:7" ht="15.75" customHeight="1" x14ac:dyDescent="0.2">
      <c r="A6" s="93"/>
      <c r="B6" s="6" t="s">
        <v>14</v>
      </c>
      <c r="C6" s="7">
        <f t="shared" ref="C6:G6" si="1">(C4-C5)*2*0.95</f>
        <v>90630</v>
      </c>
      <c r="D6" s="7">
        <f t="shared" si="1"/>
        <v>94430</v>
      </c>
      <c r="E6" s="7">
        <f t="shared" si="1"/>
        <v>98230</v>
      </c>
      <c r="F6" s="7">
        <f t="shared" si="1"/>
        <v>101080</v>
      </c>
      <c r="G6" s="7">
        <f t="shared" si="1"/>
        <v>105830</v>
      </c>
    </row>
    <row r="7" spans="1:7" ht="15.75" customHeight="1" x14ac:dyDescent="0.2">
      <c r="A7" s="94"/>
      <c r="B7" s="6" t="s">
        <v>15</v>
      </c>
      <c r="C7" s="7">
        <f t="shared" ref="C7:G7" si="2">(C4-C5)</f>
        <v>47700</v>
      </c>
      <c r="D7" s="7">
        <f t="shared" si="2"/>
        <v>49700</v>
      </c>
      <c r="E7" s="7">
        <f t="shared" si="2"/>
        <v>51700</v>
      </c>
      <c r="F7" s="7">
        <f t="shared" si="2"/>
        <v>53200</v>
      </c>
      <c r="G7" s="7">
        <f t="shared" si="2"/>
        <v>55700</v>
      </c>
    </row>
    <row r="8" spans="1:7" ht="15.75" customHeight="1" x14ac:dyDescent="0.2">
      <c r="A8" s="92" t="s">
        <v>16</v>
      </c>
      <c r="B8" s="3" t="s">
        <v>12</v>
      </c>
      <c r="C8" s="4">
        <v>56650</v>
      </c>
      <c r="D8" s="4">
        <f t="shared" ref="D8:G8" si="3">C8</f>
        <v>56650</v>
      </c>
      <c r="E8" s="4">
        <f t="shared" si="3"/>
        <v>56650</v>
      </c>
      <c r="F8" s="4">
        <f t="shared" si="3"/>
        <v>56650</v>
      </c>
      <c r="G8" s="4">
        <f t="shared" si="3"/>
        <v>56650</v>
      </c>
    </row>
    <row r="9" spans="1:7" ht="15.75" customHeight="1" x14ac:dyDescent="0.2">
      <c r="A9" s="93"/>
      <c r="B9" s="3" t="s">
        <v>13</v>
      </c>
      <c r="C9" s="4">
        <f t="shared" ref="C9:G9" si="4">C5</f>
        <v>8000</v>
      </c>
      <c r="D9" s="4">
        <f t="shared" si="4"/>
        <v>6000</v>
      </c>
      <c r="E9" s="4">
        <f t="shared" si="4"/>
        <v>4000</v>
      </c>
      <c r="F9" s="4">
        <f t="shared" si="4"/>
        <v>2500</v>
      </c>
      <c r="G9" s="4">
        <f t="shared" si="4"/>
        <v>0</v>
      </c>
    </row>
    <row r="10" spans="1:7" ht="15.75" customHeight="1" x14ac:dyDescent="0.2">
      <c r="A10" s="93"/>
      <c r="B10" s="6" t="s">
        <v>14</v>
      </c>
      <c r="C10" s="7">
        <f t="shared" ref="C10:G10" si="5">(C8-C9)*2*0.95</f>
        <v>92435</v>
      </c>
      <c r="D10" s="7">
        <f t="shared" si="5"/>
        <v>96235</v>
      </c>
      <c r="E10" s="7">
        <f t="shared" si="5"/>
        <v>100035</v>
      </c>
      <c r="F10" s="7">
        <f t="shared" si="5"/>
        <v>102885</v>
      </c>
      <c r="G10" s="7">
        <f t="shared" si="5"/>
        <v>107635</v>
      </c>
    </row>
    <row r="11" spans="1:7" ht="15.75" customHeight="1" x14ac:dyDescent="0.2">
      <c r="A11" s="94"/>
      <c r="B11" s="6" t="s">
        <v>15</v>
      </c>
      <c r="C11" s="7">
        <f t="shared" ref="C11:G11" si="6">(C8-C9)</f>
        <v>48650</v>
      </c>
      <c r="D11" s="7">
        <f t="shared" si="6"/>
        <v>50650</v>
      </c>
      <c r="E11" s="7">
        <f t="shared" si="6"/>
        <v>52650</v>
      </c>
      <c r="F11" s="7">
        <f t="shared" si="6"/>
        <v>54150</v>
      </c>
      <c r="G11" s="7">
        <f t="shared" si="6"/>
        <v>56650</v>
      </c>
    </row>
    <row r="12" spans="1:7" ht="15.75" customHeight="1" x14ac:dyDescent="0.2">
      <c r="A12" s="76" t="s">
        <v>19</v>
      </c>
      <c r="B12" s="75"/>
      <c r="C12" s="9">
        <f t="shared" ref="C12:G12" si="7">SUM(C6,C10)</f>
        <v>183065</v>
      </c>
      <c r="D12" s="9">
        <f t="shared" si="7"/>
        <v>190665</v>
      </c>
      <c r="E12" s="9">
        <f t="shared" si="7"/>
        <v>198265</v>
      </c>
      <c r="F12" s="9">
        <f t="shared" si="7"/>
        <v>203965</v>
      </c>
      <c r="G12" s="9">
        <f t="shared" si="7"/>
        <v>213465</v>
      </c>
    </row>
    <row r="13" spans="1:7" ht="15.75" customHeight="1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78"/>
    </row>
    <row r="14" spans="1:7" ht="15.75" customHeight="1" x14ac:dyDescent="0.2">
      <c r="A14" s="79"/>
      <c r="B14" s="80"/>
      <c r="C14" s="83" t="s">
        <v>22</v>
      </c>
      <c r="D14" s="75"/>
      <c r="E14" s="44">
        <v>5000</v>
      </c>
      <c r="F14" s="79"/>
      <c r="G14" s="80"/>
    </row>
    <row r="15" spans="1:7" ht="15.75" customHeight="1" x14ac:dyDescent="0.2">
      <c r="A15" s="81"/>
      <c r="B15" s="82"/>
      <c r="C15" s="88" t="s">
        <v>23</v>
      </c>
      <c r="D15" s="75"/>
      <c r="E15" s="10">
        <v>3000</v>
      </c>
      <c r="F15" s="79"/>
      <c r="G15" s="80"/>
    </row>
    <row r="16" spans="1:7" ht="15.75" customHeight="1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0"/>
    </row>
    <row r="17" spans="1:7" ht="15.75" customHeight="1" x14ac:dyDescent="0.2">
      <c r="A17" s="81"/>
      <c r="B17" s="82"/>
      <c r="C17" s="76" t="s">
        <v>26</v>
      </c>
      <c r="D17" s="75"/>
      <c r="E17" s="3">
        <v>9750</v>
      </c>
      <c r="F17" s="81"/>
      <c r="G17" s="82"/>
    </row>
    <row r="18" spans="1:7" ht="15.75" customHeight="1" x14ac:dyDescent="0.2">
      <c r="A18" s="73" t="s">
        <v>27</v>
      </c>
      <c r="B18" s="74"/>
      <c r="C18" s="74"/>
      <c r="D18" s="74"/>
      <c r="E18" s="74"/>
      <c r="F18" s="74"/>
      <c r="G18" s="75"/>
    </row>
    <row r="19" spans="1:7" ht="15.75" customHeight="1" x14ac:dyDescent="0.2">
      <c r="A19" s="73" t="s">
        <v>28</v>
      </c>
      <c r="B19" s="74"/>
      <c r="C19" s="74"/>
      <c r="D19" s="74"/>
      <c r="E19" s="74"/>
      <c r="F19" s="74"/>
      <c r="G19" s="75"/>
    </row>
    <row r="20" spans="1:7" ht="15.75" customHeight="1" x14ac:dyDescent="0.2">
      <c r="A20" s="95" t="s">
        <v>29</v>
      </c>
      <c r="B20" s="74"/>
      <c r="C20" s="74"/>
      <c r="D20" s="74"/>
      <c r="E20" s="74"/>
      <c r="F20" s="74"/>
      <c r="G20" s="75"/>
    </row>
    <row r="21" spans="1:7" ht="15.75" customHeight="1" x14ac:dyDescent="0.2">
      <c r="A21" s="73" t="s">
        <v>30</v>
      </c>
      <c r="B21" s="74"/>
      <c r="C21" s="74"/>
      <c r="D21" s="74"/>
      <c r="E21" s="74"/>
      <c r="F21" s="74"/>
      <c r="G21" s="75"/>
    </row>
    <row r="22" spans="1:7" ht="15.75" customHeight="1" x14ac:dyDescent="0.2"/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7">
    <mergeCell ref="C17:D17"/>
    <mergeCell ref="A18:G18"/>
    <mergeCell ref="A19:G19"/>
    <mergeCell ref="A20:G20"/>
    <mergeCell ref="A21:G21"/>
    <mergeCell ref="F13:G17"/>
    <mergeCell ref="C15:D15"/>
    <mergeCell ref="C13:D13"/>
    <mergeCell ref="C14:D14"/>
    <mergeCell ref="A13:B15"/>
    <mergeCell ref="A16:B17"/>
    <mergeCell ref="C16:D16"/>
    <mergeCell ref="A1:G1"/>
    <mergeCell ref="A2:G2"/>
    <mergeCell ref="A4:A7"/>
    <mergeCell ref="A8:A11"/>
    <mergeCell ref="A12:B12"/>
  </mergeCells>
  <pageMargins left="0.7" right="0.7" top="0.75" bottom="0.75" header="0" footer="0"/>
  <pageSetup orientation="landscape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4702-B395-634E-8172-5FBAB8A0A4E4}">
  <dimension ref="A1:H21"/>
  <sheetViews>
    <sheetView tabSelected="1" workbookViewId="0">
      <selection activeCell="C3" sqref="C3:H3"/>
    </sheetView>
  </sheetViews>
  <sheetFormatPr baseColWidth="10" defaultRowHeight="16" x14ac:dyDescent="0.2"/>
  <sheetData>
    <row r="1" spans="1:8" x14ac:dyDescent="0.2">
      <c r="A1" s="90" t="s">
        <v>373</v>
      </c>
      <c r="B1" s="74"/>
      <c r="C1" s="74"/>
      <c r="D1" s="74"/>
      <c r="E1" s="74"/>
      <c r="F1" s="74"/>
      <c r="G1" s="74"/>
      <c r="H1" s="75"/>
    </row>
    <row r="2" spans="1:8" x14ac:dyDescent="0.2">
      <c r="A2" s="91" t="s">
        <v>374</v>
      </c>
      <c r="B2" s="74"/>
      <c r="C2" s="74"/>
      <c r="D2" s="74"/>
      <c r="E2" s="74"/>
      <c r="F2" s="74"/>
      <c r="G2" s="74"/>
      <c r="H2" s="75"/>
    </row>
    <row r="3" spans="1:8" ht="52" x14ac:dyDescent="0.2">
      <c r="A3" s="1" t="s">
        <v>2</v>
      </c>
      <c r="B3" s="1" t="s">
        <v>3</v>
      </c>
      <c r="C3" s="2" t="s">
        <v>383</v>
      </c>
      <c r="D3" s="2" t="s">
        <v>387</v>
      </c>
      <c r="E3" s="2" t="s">
        <v>384</v>
      </c>
      <c r="F3" s="2" t="s">
        <v>385</v>
      </c>
      <c r="G3" s="2" t="s">
        <v>386</v>
      </c>
      <c r="H3" s="2" t="s">
        <v>388</v>
      </c>
    </row>
    <row r="4" spans="1:8" x14ac:dyDescent="0.2">
      <c r="A4" s="92" t="s">
        <v>11</v>
      </c>
      <c r="B4" s="3" t="s">
        <v>12</v>
      </c>
      <c r="C4" s="16">
        <v>135000</v>
      </c>
      <c r="D4" s="16">
        <f t="shared" ref="D4:H4" si="0">C4</f>
        <v>135000</v>
      </c>
      <c r="E4" s="16">
        <f t="shared" si="0"/>
        <v>135000</v>
      </c>
      <c r="F4" s="16">
        <f t="shared" si="0"/>
        <v>135000</v>
      </c>
      <c r="G4" s="16">
        <f t="shared" si="0"/>
        <v>135000</v>
      </c>
      <c r="H4" s="16">
        <f t="shared" si="0"/>
        <v>135000</v>
      </c>
    </row>
    <row r="5" spans="1:8" x14ac:dyDescent="0.2">
      <c r="A5" s="93"/>
      <c r="B5" s="3" t="s">
        <v>13</v>
      </c>
      <c r="C5" s="17">
        <v>53000</v>
      </c>
      <c r="D5" s="17">
        <v>42000</v>
      </c>
      <c r="E5" s="17">
        <v>35000</v>
      </c>
      <c r="F5" s="17">
        <v>31500</v>
      </c>
      <c r="G5" s="17">
        <v>28000</v>
      </c>
      <c r="H5" s="17">
        <v>24500</v>
      </c>
    </row>
    <row r="6" spans="1:8" x14ac:dyDescent="0.2">
      <c r="A6" s="93"/>
      <c r="B6" s="6" t="s">
        <v>14</v>
      </c>
      <c r="C6" s="7">
        <f t="shared" ref="C6:H6" si="1">(C4-C5)*2*0.95</f>
        <v>155800</v>
      </c>
      <c r="D6" s="7">
        <f t="shared" si="1"/>
        <v>176700</v>
      </c>
      <c r="E6" s="7">
        <f t="shared" si="1"/>
        <v>190000</v>
      </c>
      <c r="F6" s="7">
        <f t="shared" si="1"/>
        <v>196650</v>
      </c>
      <c r="G6" s="7">
        <f t="shared" si="1"/>
        <v>203300</v>
      </c>
      <c r="H6" s="7">
        <f t="shared" si="1"/>
        <v>209950</v>
      </c>
    </row>
    <row r="7" spans="1:8" x14ac:dyDescent="0.2">
      <c r="A7" s="94"/>
      <c r="B7" s="6" t="s">
        <v>15</v>
      </c>
      <c r="C7" s="7">
        <f t="shared" ref="C7:H7" si="2">(C4-C5)</f>
        <v>82000</v>
      </c>
      <c r="D7" s="7">
        <f t="shared" si="2"/>
        <v>93000</v>
      </c>
      <c r="E7" s="7">
        <f t="shared" si="2"/>
        <v>100000</v>
      </c>
      <c r="F7" s="7">
        <f t="shared" si="2"/>
        <v>103500</v>
      </c>
      <c r="G7" s="7">
        <f t="shared" si="2"/>
        <v>107000</v>
      </c>
      <c r="H7" s="7">
        <f t="shared" si="2"/>
        <v>110500</v>
      </c>
    </row>
    <row r="8" spans="1:8" x14ac:dyDescent="0.2">
      <c r="A8" s="92" t="s">
        <v>16</v>
      </c>
      <c r="B8" s="3" t="s">
        <v>12</v>
      </c>
      <c r="C8" s="4">
        <v>143000</v>
      </c>
      <c r="D8" s="4">
        <f t="shared" ref="D8:H8" si="3">C8</f>
        <v>143000</v>
      </c>
      <c r="E8" s="4">
        <f t="shared" si="3"/>
        <v>143000</v>
      </c>
      <c r="F8" s="4">
        <f t="shared" si="3"/>
        <v>143000</v>
      </c>
      <c r="G8" s="4">
        <f t="shared" si="3"/>
        <v>143000</v>
      </c>
      <c r="H8" s="4">
        <f t="shared" si="3"/>
        <v>143000</v>
      </c>
    </row>
    <row r="9" spans="1:8" x14ac:dyDescent="0.2">
      <c r="A9" s="93"/>
      <c r="B9" s="3" t="s">
        <v>13</v>
      </c>
      <c r="C9" s="4">
        <f>C5</f>
        <v>53000</v>
      </c>
      <c r="D9" s="4">
        <f t="shared" ref="D9:H9" si="4">D5</f>
        <v>42000</v>
      </c>
      <c r="E9" s="4">
        <f t="shared" si="4"/>
        <v>35000</v>
      </c>
      <c r="F9" s="4">
        <f t="shared" si="4"/>
        <v>31500</v>
      </c>
      <c r="G9" s="4">
        <f t="shared" si="4"/>
        <v>28000</v>
      </c>
      <c r="H9" s="4">
        <f t="shared" si="4"/>
        <v>24500</v>
      </c>
    </row>
    <row r="10" spans="1:8" x14ac:dyDescent="0.2">
      <c r="A10" s="93"/>
      <c r="B10" s="6" t="s">
        <v>14</v>
      </c>
      <c r="C10" s="7">
        <f t="shared" ref="C10:H10" si="5">(C8-C9)*2*0.95</f>
        <v>171000</v>
      </c>
      <c r="D10" s="7">
        <f t="shared" si="5"/>
        <v>191900</v>
      </c>
      <c r="E10" s="7">
        <f t="shared" si="5"/>
        <v>205200</v>
      </c>
      <c r="F10" s="7">
        <f t="shared" si="5"/>
        <v>211850</v>
      </c>
      <c r="G10" s="7">
        <f t="shared" si="5"/>
        <v>218500</v>
      </c>
      <c r="H10" s="7">
        <f t="shared" si="5"/>
        <v>225150</v>
      </c>
    </row>
    <row r="11" spans="1:8" x14ac:dyDescent="0.2">
      <c r="A11" s="94"/>
      <c r="B11" s="6" t="s">
        <v>15</v>
      </c>
      <c r="C11" s="7">
        <f t="shared" ref="C11:H11" si="6">(C8-C9)</f>
        <v>90000</v>
      </c>
      <c r="D11" s="7">
        <f t="shared" si="6"/>
        <v>101000</v>
      </c>
      <c r="E11" s="7">
        <f t="shared" si="6"/>
        <v>108000</v>
      </c>
      <c r="F11" s="7">
        <f t="shared" si="6"/>
        <v>111500</v>
      </c>
      <c r="G11" s="7">
        <f t="shared" si="6"/>
        <v>115000</v>
      </c>
      <c r="H11" s="7">
        <f t="shared" si="6"/>
        <v>118500</v>
      </c>
    </row>
    <row r="12" spans="1:8" x14ac:dyDescent="0.2">
      <c r="A12" s="76" t="s">
        <v>19</v>
      </c>
      <c r="B12" s="75"/>
      <c r="C12" s="9">
        <f>SUM(C6,C10)</f>
        <v>326800</v>
      </c>
      <c r="D12" s="9">
        <f t="shared" ref="D12:H12" si="7">SUM(D6,D10)</f>
        <v>368600</v>
      </c>
      <c r="E12" s="9">
        <f t="shared" si="7"/>
        <v>395200</v>
      </c>
      <c r="F12" s="9">
        <f t="shared" si="7"/>
        <v>408500</v>
      </c>
      <c r="G12" s="9">
        <f t="shared" si="7"/>
        <v>421800</v>
      </c>
      <c r="H12" s="9">
        <f t="shared" si="7"/>
        <v>435100</v>
      </c>
    </row>
    <row r="13" spans="1:8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85"/>
      <c r="H13" s="78"/>
    </row>
    <row r="14" spans="1:8" x14ac:dyDescent="0.2">
      <c r="A14" s="79"/>
      <c r="B14" s="80"/>
      <c r="C14" s="83" t="s">
        <v>22</v>
      </c>
      <c r="D14" s="75"/>
      <c r="E14" s="44">
        <v>5000</v>
      </c>
      <c r="F14" s="79"/>
      <c r="G14" s="86"/>
      <c r="H14" s="80"/>
    </row>
    <row r="15" spans="1:8" x14ac:dyDescent="0.2">
      <c r="A15" s="81"/>
      <c r="B15" s="82"/>
      <c r="C15" s="88" t="s">
        <v>23</v>
      </c>
      <c r="D15" s="75"/>
      <c r="E15" s="10">
        <v>3000</v>
      </c>
      <c r="F15" s="79"/>
      <c r="G15" s="86"/>
      <c r="H15" s="80"/>
    </row>
    <row r="16" spans="1:8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6"/>
      <c r="H16" s="80"/>
    </row>
    <row r="17" spans="1:8" x14ac:dyDescent="0.2">
      <c r="A17" s="81"/>
      <c r="B17" s="82"/>
      <c r="C17" s="76" t="s">
        <v>26</v>
      </c>
      <c r="D17" s="75"/>
      <c r="E17" s="3">
        <v>9750</v>
      </c>
      <c r="F17" s="81"/>
      <c r="G17" s="87"/>
      <c r="H17" s="82"/>
    </row>
    <row r="18" spans="1:8" x14ac:dyDescent="0.2">
      <c r="A18" s="73" t="s">
        <v>27</v>
      </c>
      <c r="B18" s="74"/>
      <c r="C18" s="74"/>
      <c r="D18" s="74"/>
      <c r="E18" s="74"/>
      <c r="F18" s="74"/>
      <c r="G18" s="74"/>
      <c r="H18" s="75"/>
    </row>
    <row r="19" spans="1:8" x14ac:dyDescent="0.2">
      <c r="A19" s="73" t="s">
        <v>28</v>
      </c>
      <c r="B19" s="74"/>
      <c r="C19" s="74"/>
      <c r="D19" s="74"/>
      <c r="E19" s="74"/>
      <c r="F19" s="74"/>
      <c r="G19" s="74"/>
      <c r="H19" s="75"/>
    </row>
    <row r="20" spans="1:8" x14ac:dyDescent="0.2">
      <c r="A20" s="73" t="s">
        <v>29</v>
      </c>
      <c r="B20" s="74"/>
      <c r="C20" s="74"/>
      <c r="D20" s="74"/>
      <c r="E20" s="74"/>
      <c r="F20" s="74"/>
      <c r="G20" s="74"/>
      <c r="H20" s="75"/>
    </row>
    <row r="21" spans="1:8" x14ac:dyDescent="0.2">
      <c r="A21" s="73" t="s">
        <v>30</v>
      </c>
      <c r="B21" s="74"/>
      <c r="C21" s="74"/>
      <c r="D21" s="74"/>
      <c r="E21" s="74"/>
      <c r="F21" s="74"/>
      <c r="G21" s="74"/>
      <c r="H21" s="75"/>
    </row>
  </sheetData>
  <mergeCells count="17">
    <mergeCell ref="A1:H1"/>
    <mergeCell ref="A2:H2"/>
    <mergeCell ref="A4:A7"/>
    <mergeCell ref="A8:A11"/>
    <mergeCell ref="A18:H18"/>
    <mergeCell ref="A19:H19"/>
    <mergeCell ref="A20:H20"/>
    <mergeCell ref="A21:H21"/>
    <mergeCell ref="A12:B12"/>
    <mergeCell ref="A13:B15"/>
    <mergeCell ref="C13:D13"/>
    <mergeCell ref="F13:H17"/>
    <mergeCell ref="C14:D14"/>
    <mergeCell ref="C15:D15"/>
    <mergeCell ref="A16:B17"/>
    <mergeCell ref="C16:D16"/>
    <mergeCell ref="C17:D17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280C-9785-D04D-8577-59FC879A79E1}">
  <dimension ref="A1:H21"/>
  <sheetViews>
    <sheetView workbookViewId="0">
      <selection activeCell="C3" sqref="C3:H3"/>
    </sheetView>
  </sheetViews>
  <sheetFormatPr baseColWidth="10" defaultRowHeight="16" x14ac:dyDescent="0.2"/>
  <sheetData>
    <row r="1" spans="1:8" x14ac:dyDescent="0.2">
      <c r="A1" s="90" t="s">
        <v>375</v>
      </c>
      <c r="B1" s="74"/>
      <c r="C1" s="74"/>
      <c r="D1" s="74"/>
      <c r="E1" s="74"/>
      <c r="F1" s="74"/>
      <c r="G1" s="74"/>
      <c r="H1" s="75"/>
    </row>
    <row r="2" spans="1:8" x14ac:dyDescent="0.2">
      <c r="A2" s="91" t="s">
        <v>376</v>
      </c>
      <c r="B2" s="74"/>
      <c r="C2" s="74"/>
      <c r="D2" s="74"/>
      <c r="E2" s="74"/>
      <c r="F2" s="74"/>
      <c r="G2" s="74"/>
      <c r="H2" s="75"/>
    </row>
    <row r="3" spans="1:8" ht="52" x14ac:dyDescent="0.2">
      <c r="A3" s="1" t="s">
        <v>2</v>
      </c>
      <c r="B3" s="1" t="s">
        <v>3</v>
      </c>
      <c r="C3" s="2" t="s">
        <v>383</v>
      </c>
      <c r="D3" s="2" t="s">
        <v>387</v>
      </c>
      <c r="E3" s="2" t="s">
        <v>384</v>
      </c>
      <c r="F3" s="2" t="s">
        <v>385</v>
      </c>
      <c r="G3" s="2" t="s">
        <v>386</v>
      </c>
      <c r="H3" s="2" t="s">
        <v>388</v>
      </c>
    </row>
    <row r="4" spans="1:8" x14ac:dyDescent="0.2">
      <c r="A4" s="92" t="s">
        <v>11</v>
      </c>
      <c r="B4" s="3" t="s">
        <v>12</v>
      </c>
      <c r="C4" s="16">
        <v>135000</v>
      </c>
      <c r="D4" s="16">
        <f t="shared" ref="D4:H4" si="0">C4</f>
        <v>135000</v>
      </c>
      <c r="E4" s="16">
        <f t="shared" si="0"/>
        <v>135000</v>
      </c>
      <c r="F4" s="16">
        <f t="shared" si="0"/>
        <v>135000</v>
      </c>
      <c r="G4" s="16">
        <f t="shared" si="0"/>
        <v>135000</v>
      </c>
      <c r="H4" s="16">
        <f t="shared" si="0"/>
        <v>135000</v>
      </c>
    </row>
    <row r="5" spans="1:8" x14ac:dyDescent="0.2">
      <c r="A5" s="93"/>
      <c r="B5" s="3" t="s">
        <v>13</v>
      </c>
      <c r="C5" s="17">
        <v>53000</v>
      </c>
      <c r="D5" s="17">
        <v>42000</v>
      </c>
      <c r="E5" s="17">
        <v>35000</v>
      </c>
      <c r="F5" s="17">
        <v>31500</v>
      </c>
      <c r="G5" s="17">
        <v>28000</v>
      </c>
      <c r="H5" s="17">
        <v>24500</v>
      </c>
    </row>
    <row r="6" spans="1:8" x14ac:dyDescent="0.2">
      <c r="A6" s="93"/>
      <c r="B6" s="6" t="s">
        <v>14</v>
      </c>
      <c r="C6" s="7">
        <f t="shared" ref="C6:H6" si="1">(C4-C5)*2*0.95</f>
        <v>155800</v>
      </c>
      <c r="D6" s="7">
        <f t="shared" si="1"/>
        <v>176700</v>
      </c>
      <c r="E6" s="7">
        <f t="shared" si="1"/>
        <v>190000</v>
      </c>
      <c r="F6" s="7">
        <f t="shared" si="1"/>
        <v>196650</v>
      </c>
      <c r="G6" s="7">
        <f t="shared" si="1"/>
        <v>203300</v>
      </c>
      <c r="H6" s="7">
        <f t="shared" si="1"/>
        <v>209950</v>
      </c>
    </row>
    <row r="7" spans="1:8" x14ac:dyDescent="0.2">
      <c r="A7" s="94"/>
      <c r="B7" s="6" t="s">
        <v>15</v>
      </c>
      <c r="C7" s="7">
        <f t="shared" ref="C7:H7" si="2">(C4-C5)</f>
        <v>82000</v>
      </c>
      <c r="D7" s="7">
        <f t="shared" si="2"/>
        <v>93000</v>
      </c>
      <c r="E7" s="7">
        <f t="shared" si="2"/>
        <v>100000</v>
      </c>
      <c r="F7" s="7">
        <f t="shared" si="2"/>
        <v>103500</v>
      </c>
      <c r="G7" s="7">
        <f t="shared" si="2"/>
        <v>107000</v>
      </c>
      <c r="H7" s="7">
        <f t="shared" si="2"/>
        <v>110500</v>
      </c>
    </row>
    <row r="8" spans="1:8" x14ac:dyDescent="0.2">
      <c r="A8" s="92" t="s">
        <v>16</v>
      </c>
      <c r="B8" s="3" t="s">
        <v>12</v>
      </c>
      <c r="C8" s="4">
        <v>143000</v>
      </c>
      <c r="D8" s="4">
        <f t="shared" ref="D8:H8" si="3">C8</f>
        <v>143000</v>
      </c>
      <c r="E8" s="4">
        <f t="shared" si="3"/>
        <v>143000</v>
      </c>
      <c r="F8" s="4">
        <f t="shared" si="3"/>
        <v>143000</v>
      </c>
      <c r="G8" s="4">
        <f t="shared" si="3"/>
        <v>143000</v>
      </c>
      <c r="H8" s="4">
        <f t="shared" si="3"/>
        <v>143000</v>
      </c>
    </row>
    <row r="9" spans="1:8" x14ac:dyDescent="0.2">
      <c r="A9" s="93"/>
      <c r="B9" s="3" t="s">
        <v>13</v>
      </c>
      <c r="C9" s="4">
        <f t="shared" ref="C9:H9" si="4">C5</f>
        <v>53000</v>
      </c>
      <c r="D9" s="4">
        <f t="shared" si="4"/>
        <v>42000</v>
      </c>
      <c r="E9" s="4">
        <f t="shared" si="4"/>
        <v>35000</v>
      </c>
      <c r="F9" s="4">
        <f t="shared" si="4"/>
        <v>31500</v>
      </c>
      <c r="G9" s="4">
        <f t="shared" si="4"/>
        <v>28000</v>
      </c>
      <c r="H9" s="4">
        <f t="shared" si="4"/>
        <v>24500</v>
      </c>
    </row>
    <row r="10" spans="1:8" x14ac:dyDescent="0.2">
      <c r="A10" s="93"/>
      <c r="B10" s="6" t="s">
        <v>14</v>
      </c>
      <c r="C10" s="7">
        <f t="shared" ref="C10:H10" si="5">(C8-C9)*2*0.95</f>
        <v>171000</v>
      </c>
      <c r="D10" s="7">
        <f t="shared" si="5"/>
        <v>191900</v>
      </c>
      <c r="E10" s="7">
        <f t="shared" si="5"/>
        <v>205200</v>
      </c>
      <c r="F10" s="7">
        <f t="shared" si="5"/>
        <v>211850</v>
      </c>
      <c r="G10" s="7">
        <f t="shared" si="5"/>
        <v>218500</v>
      </c>
      <c r="H10" s="7">
        <f t="shared" si="5"/>
        <v>225150</v>
      </c>
    </row>
    <row r="11" spans="1:8" x14ac:dyDescent="0.2">
      <c r="A11" s="94"/>
      <c r="B11" s="6" t="s">
        <v>15</v>
      </c>
      <c r="C11" s="7">
        <f t="shared" ref="C11:H11" si="6">(C8-C9)</f>
        <v>90000</v>
      </c>
      <c r="D11" s="7">
        <f t="shared" si="6"/>
        <v>101000</v>
      </c>
      <c r="E11" s="7">
        <f t="shared" si="6"/>
        <v>108000</v>
      </c>
      <c r="F11" s="7">
        <f t="shared" si="6"/>
        <v>111500</v>
      </c>
      <c r="G11" s="7">
        <f t="shared" si="6"/>
        <v>115000</v>
      </c>
      <c r="H11" s="7">
        <f t="shared" si="6"/>
        <v>118500</v>
      </c>
    </row>
    <row r="12" spans="1:8" x14ac:dyDescent="0.2">
      <c r="A12" s="76" t="s">
        <v>19</v>
      </c>
      <c r="B12" s="75"/>
      <c r="C12" s="9">
        <f>SUM(C6,C10)</f>
        <v>326800</v>
      </c>
      <c r="D12" s="9">
        <f t="shared" ref="D12:H12" si="7">SUM(D6,D10)</f>
        <v>368600</v>
      </c>
      <c r="E12" s="9">
        <f t="shared" si="7"/>
        <v>395200</v>
      </c>
      <c r="F12" s="9">
        <f t="shared" si="7"/>
        <v>408500</v>
      </c>
      <c r="G12" s="9">
        <f t="shared" si="7"/>
        <v>421800</v>
      </c>
      <c r="H12" s="9">
        <f t="shared" si="7"/>
        <v>435100</v>
      </c>
    </row>
    <row r="13" spans="1:8" x14ac:dyDescent="0.2">
      <c r="A13" s="77" t="s">
        <v>20</v>
      </c>
      <c r="B13" s="78"/>
      <c r="C13" s="83" t="s">
        <v>21</v>
      </c>
      <c r="D13" s="75"/>
      <c r="E13" s="44">
        <v>10000</v>
      </c>
      <c r="F13" s="84"/>
      <c r="G13" s="85"/>
      <c r="H13" s="78"/>
    </row>
    <row r="14" spans="1:8" x14ac:dyDescent="0.2">
      <c r="A14" s="79"/>
      <c r="B14" s="80"/>
      <c r="C14" s="83" t="s">
        <v>22</v>
      </c>
      <c r="D14" s="75"/>
      <c r="E14" s="44">
        <v>5000</v>
      </c>
      <c r="F14" s="79"/>
      <c r="G14" s="86"/>
      <c r="H14" s="80"/>
    </row>
    <row r="15" spans="1:8" x14ac:dyDescent="0.2">
      <c r="A15" s="81"/>
      <c r="B15" s="82"/>
      <c r="C15" s="88" t="s">
        <v>23</v>
      </c>
      <c r="D15" s="75"/>
      <c r="E15" s="10">
        <v>3000</v>
      </c>
      <c r="F15" s="79"/>
      <c r="G15" s="86"/>
      <c r="H15" s="80"/>
    </row>
    <row r="16" spans="1:8" x14ac:dyDescent="0.2">
      <c r="A16" s="89" t="s">
        <v>24</v>
      </c>
      <c r="B16" s="78"/>
      <c r="C16" s="76" t="s">
        <v>25</v>
      </c>
      <c r="D16" s="75"/>
      <c r="E16" s="3">
        <v>18500</v>
      </c>
      <c r="F16" s="79"/>
      <c r="G16" s="86"/>
      <c r="H16" s="80"/>
    </row>
    <row r="17" spans="1:8" x14ac:dyDescent="0.2">
      <c r="A17" s="81"/>
      <c r="B17" s="82"/>
      <c r="C17" s="76" t="s">
        <v>26</v>
      </c>
      <c r="D17" s="75"/>
      <c r="E17" s="3">
        <v>9750</v>
      </c>
      <c r="F17" s="81"/>
      <c r="G17" s="87"/>
      <c r="H17" s="82"/>
    </row>
    <row r="18" spans="1:8" x14ac:dyDescent="0.2">
      <c r="A18" s="73" t="s">
        <v>27</v>
      </c>
      <c r="B18" s="74"/>
      <c r="C18" s="74"/>
      <c r="D18" s="74"/>
      <c r="E18" s="74"/>
      <c r="F18" s="74"/>
      <c r="G18" s="74"/>
      <c r="H18" s="75"/>
    </row>
    <row r="19" spans="1:8" x14ac:dyDescent="0.2">
      <c r="A19" s="73" t="s">
        <v>28</v>
      </c>
      <c r="B19" s="74"/>
      <c r="C19" s="74"/>
      <c r="D19" s="74"/>
      <c r="E19" s="74"/>
      <c r="F19" s="74"/>
      <c r="G19" s="74"/>
      <c r="H19" s="75"/>
    </row>
    <row r="20" spans="1:8" x14ac:dyDescent="0.2">
      <c r="A20" s="73" t="s">
        <v>29</v>
      </c>
      <c r="B20" s="74"/>
      <c r="C20" s="74"/>
      <c r="D20" s="74"/>
      <c r="E20" s="74"/>
      <c r="F20" s="74"/>
      <c r="G20" s="74"/>
      <c r="H20" s="75"/>
    </row>
    <row r="21" spans="1:8" x14ac:dyDescent="0.2">
      <c r="A21" s="73" t="s">
        <v>30</v>
      </c>
      <c r="B21" s="74"/>
      <c r="C21" s="74"/>
      <c r="D21" s="74"/>
      <c r="E21" s="74"/>
      <c r="F21" s="74"/>
      <c r="G21" s="74"/>
      <c r="H21" s="75"/>
    </row>
  </sheetData>
  <mergeCells count="17">
    <mergeCell ref="A1:H1"/>
    <mergeCell ref="A2:H2"/>
    <mergeCell ref="A4:A7"/>
    <mergeCell ref="A8:A11"/>
    <mergeCell ref="A18:H18"/>
    <mergeCell ref="A19:H19"/>
    <mergeCell ref="A20:H20"/>
    <mergeCell ref="A21:H21"/>
    <mergeCell ref="A12:B12"/>
    <mergeCell ref="A13:B15"/>
    <mergeCell ref="C13:D13"/>
    <mergeCell ref="F13:H17"/>
    <mergeCell ref="C14:D14"/>
    <mergeCell ref="C15:D15"/>
    <mergeCell ref="A16:B17"/>
    <mergeCell ref="C16:D16"/>
    <mergeCell ref="C17:D17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278F-10B0-3448-BBDD-7EB6E70C8650}">
  <dimension ref="A1:H29"/>
  <sheetViews>
    <sheetView workbookViewId="0">
      <selection activeCell="E3" sqref="E3"/>
    </sheetView>
  </sheetViews>
  <sheetFormatPr baseColWidth="10" defaultRowHeight="16" x14ac:dyDescent="0.2"/>
  <sheetData>
    <row r="1" spans="1:8" x14ac:dyDescent="0.2">
      <c r="A1" s="90" t="s">
        <v>377</v>
      </c>
      <c r="B1" s="74"/>
      <c r="C1" s="74"/>
      <c r="D1" s="74"/>
      <c r="E1" s="74"/>
      <c r="F1" s="74"/>
      <c r="G1" s="74"/>
      <c r="H1" s="75"/>
    </row>
    <row r="2" spans="1:8" x14ac:dyDescent="0.2">
      <c r="A2" s="91" t="s">
        <v>378</v>
      </c>
      <c r="B2" s="74"/>
      <c r="C2" s="74"/>
      <c r="D2" s="74"/>
      <c r="E2" s="74"/>
      <c r="F2" s="74"/>
      <c r="G2" s="74"/>
      <c r="H2" s="75"/>
    </row>
    <row r="3" spans="1:8" ht="104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x14ac:dyDescent="0.2">
      <c r="A4" s="92" t="s">
        <v>11</v>
      </c>
      <c r="B4" s="3" t="s">
        <v>12</v>
      </c>
      <c r="C4" s="16">
        <v>135000</v>
      </c>
      <c r="D4" s="16">
        <f t="shared" ref="D4:H4" si="0">C4</f>
        <v>135000</v>
      </c>
      <c r="E4" s="16">
        <f t="shared" si="0"/>
        <v>135000</v>
      </c>
      <c r="F4" s="16">
        <f t="shared" si="0"/>
        <v>135000</v>
      </c>
      <c r="G4" s="16">
        <f t="shared" si="0"/>
        <v>135000</v>
      </c>
      <c r="H4" s="16">
        <f t="shared" si="0"/>
        <v>135000</v>
      </c>
    </row>
    <row r="5" spans="1:8" x14ac:dyDescent="0.2">
      <c r="A5" s="93"/>
      <c r="B5" s="3" t="s">
        <v>13</v>
      </c>
      <c r="C5" s="17">
        <v>53000</v>
      </c>
      <c r="D5" s="17">
        <v>42000</v>
      </c>
      <c r="E5" s="17">
        <v>35000</v>
      </c>
      <c r="F5" s="17">
        <v>31500</v>
      </c>
      <c r="G5" s="17">
        <v>28000</v>
      </c>
      <c r="H5" s="17">
        <v>24500</v>
      </c>
    </row>
    <row r="6" spans="1:8" x14ac:dyDescent="0.2">
      <c r="A6" s="93"/>
      <c r="B6" s="6" t="s">
        <v>14</v>
      </c>
      <c r="C6" s="7">
        <f t="shared" ref="C6:H6" si="1">(C4-C5)*2*0.95</f>
        <v>155800</v>
      </c>
      <c r="D6" s="7">
        <f t="shared" si="1"/>
        <v>176700</v>
      </c>
      <c r="E6" s="7">
        <f t="shared" si="1"/>
        <v>190000</v>
      </c>
      <c r="F6" s="7">
        <f t="shared" si="1"/>
        <v>196650</v>
      </c>
      <c r="G6" s="7">
        <f t="shared" si="1"/>
        <v>203300</v>
      </c>
      <c r="H6" s="7">
        <f t="shared" si="1"/>
        <v>209950</v>
      </c>
    </row>
    <row r="7" spans="1:8" x14ac:dyDescent="0.2">
      <c r="A7" s="94"/>
      <c r="B7" s="6" t="s">
        <v>15</v>
      </c>
      <c r="C7" s="7">
        <f t="shared" ref="C7:H7" si="2">(C4-C5)</f>
        <v>82000</v>
      </c>
      <c r="D7" s="7">
        <f t="shared" si="2"/>
        <v>93000</v>
      </c>
      <c r="E7" s="7">
        <f t="shared" si="2"/>
        <v>100000</v>
      </c>
      <c r="F7" s="7">
        <f t="shared" si="2"/>
        <v>103500</v>
      </c>
      <c r="G7" s="7">
        <f t="shared" si="2"/>
        <v>107000</v>
      </c>
      <c r="H7" s="7">
        <f t="shared" si="2"/>
        <v>110500</v>
      </c>
    </row>
    <row r="8" spans="1:8" x14ac:dyDescent="0.2">
      <c r="A8" s="92" t="s">
        <v>16</v>
      </c>
      <c r="B8" s="3" t="s">
        <v>12</v>
      </c>
      <c r="C8" s="4">
        <v>143000</v>
      </c>
      <c r="D8" s="4">
        <f t="shared" ref="D8:H8" si="3">C8</f>
        <v>143000</v>
      </c>
      <c r="E8" s="4">
        <f t="shared" si="3"/>
        <v>143000</v>
      </c>
      <c r="F8" s="4">
        <f t="shared" si="3"/>
        <v>143000</v>
      </c>
      <c r="G8" s="4">
        <f t="shared" si="3"/>
        <v>143000</v>
      </c>
      <c r="H8" s="4">
        <f t="shared" si="3"/>
        <v>143000</v>
      </c>
    </row>
    <row r="9" spans="1:8" x14ac:dyDescent="0.2">
      <c r="A9" s="93"/>
      <c r="B9" s="3" t="s">
        <v>13</v>
      </c>
      <c r="C9" s="4">
        <f t="shared" ref="C9:H9" si="4">C5</f>
        <v>53000</v>
      </c>
      <c r="D9" s="4">
        <f t="shared" si="4"/>
        <v>42000</v>
      </c>
      <c r="E9" s="4">
        <f t="shared" si="4"/>
        <v>35000</v>
      </c>
      <c r="F9" s="4">
        <f t="shared" si="4"/>
        <v>31500</v>
      </c>
      <c r="G9" s="4">
        <f t="shared" si="4"/>
        <v>28000</v>
      </c>
      <c r="H9" s="4">
        <f t="shared" si="4"/>
        <v>24500</v>
      </c>
    </row>
    <row r="10" spans="1:8" x14ac:dyDescent="0.2">
      <c r="A10" s="93"/>
      <c r="B10" s="6" t="s">
        <v>14</v>
      </c>
      <c r="C10" s="7">
        <f t="shared" ref="C10:H10" si="5">(C8-C9)*2*0.95</f>
        <v>171000</v>
      </c>
      <c r="D10" s="7">
        <f t="shared" si="5"/>
        <v>191900</v>
      </c>
      <c r="E10" s="7">
        <f t="shared" si="5"/>
        <v>205200</v>
      </c>
      <c r="F10" s="7">
        <f t="shared" si="5"/>
        <v>211850</v>
      </c>
      <c r="G10" s="7">
        <f t="shared" si="5"/>
        <v>218500</v>
      </c>
      <c r="H10" s="7">
        <f t="shared" si="5"/>
        <v>225150</v>
      </c>
    </row>
    <row r="11" spans="1:8" x14ac:dyDescent="0.2">
      <c r="A11" s="94"/>
      <c r="B11" s="6" t="s">
        <v>15</v>
      </c>
      <c r="C11" s="7">
        <f t="shared" ref="C11:H11" si="6">(C8-C9)</f>
        <v>90000</v>
      </c>
      <c r="D11" s="7">
        <f t="shared" si="6"/>
        <v>101000</v>
      </c>
      <c r="E11" s="7">
        <f t="shared" si="6"/>
        <v>108000</v>
      </c>
      <c r="F11" s="7">
        <f t="shared" si="6"/>
        <v>111500</v>
      </c>
      <c r="G11" s="7">
        <f t="shared" si="6"/>
        <v>115000</v>
      </c>
      <c r="H11" s="7">
        <f t="shared" si="6"/>
        <v>118500</v>
      </c>
    </row>
    <row r="12" spans="1:8" x14ac:dyDescent="0.2">
      <c r="A12" s="92" t="s">
        <v>17</v>
      </c>
      <c r="B12" s="3" t="s">
        <v>12</v>
      </c>
      <c r="C12" s="4">
        <f>C8*1.05</f>
        <v>150150</v>
      </c>
      <c r="D12" s="4">
        <f t="shared" ref="D12:H12" si="7">C12</f>
        <v>150150</v>
      </c>
      <c r="E12" s="4">
        <f t="shared" si="7"/>
        <v>150150</v>
      </c>
      <c r="F12" s="4">
        <f t="shared" si="7"/>
        <v>150150</v>
      </c>
      <c r="G12" s="4">
        <f t="shared" si="7"/>
        <v>150150</v>
      </c>
      <c r="H12" s="4">
        <f t="shared" si="7"/>
        <v>150150</v>
      </c>
    </row>
    <row r="13" spans="1:8" x14ac:dyDescent="0.2">
      <c r="A13" s="93"/>
      <c r="B13" s="3" t="s">
        <v>13</v>
      </c>
      <c r="C13" s="4">
        <f t="shared" ref="C13:H13" si="8">C5</f>
        <v>53000</v>
      </c>
      <c r="D13" s="4">
        <f t="shared" si="8"/>
        <v>42000</v>
      </c>
      <c r="E13" s="4">
        <f t="shared" si="8"/>
        <v>35000</v>
      </c>
      <c r="F13" s="4">
        <f t="shared" si="8"/>
        <v>31500</v>
      </c>
      <c r="G13" s="4">
        <f t="shared" si="8"/>
        <v>28000</v>
      </c>
      <c r="H13" s="4">
        <f t="shared" si="8"/>
        <v>24500</v>
      </c>
    </row>
    <row r="14" spans="1:8" x14ac:dyDescent="0.2">
      <c r="A14" s="93"/>
      <c r="B14" s="6" t="s">
        <v>14</v>
      </c>
      <c r="C14" s="7">
        <f t="shared" ref="C14:H14" si="9">(C12-C13)*2*0.95</f>
        <v>184585</v>
      </c>
      <c r="D14" s="7">
        <f t="shared" si="9"/>
        <v>205485</v>
      </c>
      <c r="E14" s="7">
        <f t="shared" si="9"/>
        <v>218785</v>
      </c>
      <c r="F14" s="7">
        <f t="shared" si="9"/>
        <v>225435</v>
      </c>
      <c r="G14" s="7">
        <f t="shared" si="9"/>
        <v>232085</v>
      </c>
      <c r="H14" s="7">
        <f t="shared" si="9"/>
        <v>238735</v>
      </c>
    </row>
    <row r="15" spans="1:8" x14ac:dyDescent="0.2">
      <c r="A15" s="94"/>
      <c r="B15" s="6" t="s">
        <v>15</v>
      </c>
      <c r="C15" s="7">
        <f t="shared" ref="C15:H15" si="10">(C12-C13)</f>
        <v>97150</v>
      </c>
      <c r="D15" s="7">
        <f t="shared" si="10"/>
        <v>108150</v>
      </c>
      <c r="E15" s="7">
        <f t="shared" si="10"/>
        <v>115150</v>
      </c>
      <c r="F15" s="7">
        <f t="shared" si="10"/>
        <v>118650</v>
      </c>
      <c r="G15" s="7">
        <f t="shared" si="10"/>
        <v>122150</v>
      </c>
      <c r="H15" s="7">
        <f t="shared" si="10"/>
        <v>125650</v>
      </c>
    </row>
    <row r="16" spans="1:8" x14ac:dyDescent="0.2">
      <c r="A16" s="92" t="s">
        <v>191</v>
      </c>
      <c r="B16" s="3" t="s">
        <v>12</v>
      </c>
      <c r="C16" s="4">
        <f>C12*1.05</f>
        <v>157657.5</v>
      </c>
      <c r="D16" s="4">
        <f t="shared" ref="D16:H16" si="11">C16</f>
        <v>157657.5</v>
      </c>
      <c r="E16" s="4">
        <f t="shared" si="11"/>
        <v>157657.5</v>
      </c>
      <c r="F16" s="4">
        <f t="shared" si="11"/>
        <v>157657.5</v>
      </c>
      <c r="G16" s="4">
        <f t="shared" si="11"/>
        <v>157657.5</v>
      </c>
      <c r="H16" s="4">
        <f t="shared" si="11"/>
        <v>157657.5</v>
      </c>
    </row>
    <row r="17" spans="1:8" x14ac:dyDescent="0.2">
      <c r="A17" s="93"/>
      <c r="B17" s="3" t="s">
        <v>13</v>
      </c>
      <c r="C17" s="4">
        <f t="shared" ref="C17:H17" si="12">C9</f>
        <v>53000</v>
      </c>
      <c r="D17" s="4">
        <f t="shared" si="12"/>
        <v>42000</v>
      </c>
      <c r="E17" s="4">
        <f t="shared" si="12"/>
        <v>35000</v>
      </c>
      <c r="F17" s="4">
        <f t="shared" si="12"/>
        <v>31500</v>
      </c>
      <c r="G17" s="4">
        <f t="shared" si="12"/>
        <v>28000</v>
      </c>
      <c r="H17" s="4">
        <f t="shared" si="12"/>
        <v>24500</v>
      </c>
    </row>
    <row r="18" spans="1:8" x14ac:dyDescent="0.2">
      <c r="A18" s="93"/>
      <c r="B18" s="6" t="s">
        <v>14</v>
      </c>
      <c r="C18" s="7">
        <f t="shared" ref="C18:H18" si="13">(C16-C17)*2*0.95</f>
        <v>198849.25</v>
      </c>
      <c r="D18" s="7">
        <f t="shared" si="13"/>
        <v>219749.25</v>
      </c>
      <c r="E18" s="7">
        <f t="shared" si="13"/>
        <v>233049.25</v>
      </c>
      <c r="F18" s="7">
        <f t="shared" si="13"/>
        <v>239699.25</v>
      </c>
      <c r="G18" s="7">
        <f t="shared" si="13"/>
        <v>246349.25</v>
      </c>
      <c r="H18" s="7">
        <f t="shared" si="13"/>
        <v>252999.25</v>
      </c>
    </row>
    <row r="19" spans="1:8" x14ac:dyDescent="0.2">
      <c r="A19" s="94"/>
      <c r="B19" s="6" t="s">
        <v>15</v>
      </c>
      <c r="C19" s="7">
        <f t="shared" ref="C19:H19" si="14">(C16-C17)</f>
        <v>104657.5</v>
      </c>
      <c r="D19" s="7">
        <f t="shared" si="14"/>
        <v>115657.5</v>
      </c>
      <c r="E19" s="7">
        <f t="shared" si="14"/>
        <v>122657.5</v>
      </c>
      <c r="F19" s="7">
        <f t="shared" si="14"/>
        <v>126157.5</v>
      </c>
      <c r="G19" s="7">
        <f t="shared" si="14"/>
        <v>129657.5</v>
      </c>
      <c r="H19" s="7">
        <f t="shared" si="14"/>
        <v>133157.5</v>
      </c>
    </row>
    <row r="20" spans="1:8" x14ac:dyDescent="0.2">
      <c r="A20" s="76" t="s">
        <v>19</v>
      </c>
      <c r="B20" s="75"/>
      <c r="C20" s="9">
        <f t="shared" ref="C20:H20" si="15">SUM(C6,C10,C14,C18)</f>
        <v>710234.25</v>
      </c>
      <c r="D20" s="9">
        <f t="shared" si="15"/>
        <v>793834.25</v>
      </c>
      <c r="E20" s="9">
        <f t="shared" si="15"/>
        <v>847034.25</v>
      </c>
      <c r="F20" s="9">
        <f t="shared" si="15"/>
        <v>873634.25</v>
      </c>
      <c r="G20" s="9">
        <f t="shared" si="15"/>
        <v>900234.25</v>
      </c>
      <c r="H20" s="9">
        <f t="shared" si="15"/>
        <v>926834.25</v>
      </c>
    </row>
    <row r="21" spans="1:8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x14ac:dyDescent="0.2">
      <c r="A28" s="73" t="s">
        <v>29</v>
      </c>
      <c r="B28" s="74"/>
      <c r="C28" s="74"/>
      <c r="D28" s="74"/>
      <c r="E28" s="74"/>
      <c r="F28" s="74"/>
      <c r="G28" s="74"/>
      <c r="H28" s="75"/>
    </row>
    <row r="29" spans="1:8" x14ac:dyDescent="0.2">
      <c r="A29" s="73" t="s">
        <v>30</v>
      </c>
      <c r="B29" s="74"/>
      <c r="C29" s="74"/>
      <c r="D29" s="74"/>
      <c r="E29" s="74"/>
      <c r="F29" s="74"/>
      <c r="G29" s="74"/>
      <c r="H29" s="75"/>
    </row>
  </sheetData>
  <mergeCells count="19">
    <mergeCell ref="A16:A19"/>
    <mergeCell ref="A1:H1"/>
    <mergeCell ref="A2:H2"/>
    <mergeCell ref="A4:A7"/>
    <mergeCell ref="A8:A11"/>
    <mergeCell ref="A12:A15"/>
    <mergeCell ref="A26:H26"/>
    <mergeCell ref="A27:H27"/>
    <mergeCell ref="A28:H28"/>
    <mergeCell ref="A29:H29"/>
    <mergeCell ref="A20:B20"/>
    <mergeCell ref="A21:B23"/>
    <mergeCell ref="C21:D21"/>
    <mergeCell ref="F21:H25"/>
    <mergeCell ref="C22:D22"/>
    <mergeCell ref="C23:D23"/>
    <mergeCell ref="A24:B25"/>
    <mergeCell ref="C24:D24"/>
    <mergeCell ref="C25:D25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0C23-F84A-794D-B05A-13C979B671D5}">
  <dimension ref="A1:H29"/>
  <sheetViews>
    <sheetView workbookViewId="0">
      <selection activeCell="G3" sqref="G3"/>
    </sheetView>
  </sheetViews>
  <sheetFormatPr baseColWidth="10" defaultRowHeight="16" x14ac:dyDescent="0.2"/>
  <sheetData>
    <row r="1" spans="1:8" x14ac:dyDescent="0.2">
      <c r="A1" s="90" t="s">
        <v>379</v>
      </c>
      <c r="B1" s="74"/>
      <c r="C1" s="74"/>
      <c r="D1" s="74"/>
      <c r="E1" s="74"/>
      <c r="F1" s="74"/>
      <c r="G1" s="74"/>
      <c r="H1" s="75"/>
    </row>
    <row r="2" spans="1:8" x14ac:dyDescent="0.2">
      <c r="A2" s="91" t="s">
        <v>380</v>
      </c>
      <c r="B2" s="74"/>
      <c r="C2" s="74"/>
      <c r="D2" s="74"/>
      <c r="E2" s="74"/>
      <c r="F2" s="74"/>
      <c r="G2" s="74"/>
      <c r="H2" s="75"/>
    </row>
    <row r="3" spans="1:8" ht="104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x14ac:dyDescent="0.2">
      <c r="A4" s="92" t="s">
        <v>11</v>
      </c>
      <c r="B4" s="3" t="s">
        <v>12</v>
      </c>
      <c r="C4" s="16">
        <v>135000</v>
      </c>
      <c r="D4" s="16">
        <f t="shared" ref="D4:H4" si="0">C4</f>
        <v>135000</v>
      </c>
      <c r="E4" s="16">
        <f t="shared" si="0"/>
        <v>135000</v>
      </c>
      <c r="F4" s="16">
        <f t="shared" si="0"/>
        <v>135000</v>
      </c>
      <c r="G4" s="16">
        <f t="shared" si="0"/>
        <v>135000</v>
      </c>
      <c r="H4" s="16">
        <f t="shared" si="0"/>
        <v>135000</v>
      </c>
    </row>
    <row r="5" spans="1:8" x14ac:dyDescent="0.2">
      <c r="A5" s="93"/>
      <c r="B5" s="3" t="s">
        <v>13</v>
      </c>
      <c r="C5" s="17">
        <v>53000</v>
      </c>
      <c r="D5" s="17">
        <v>42000</v>
      </c>
      <c r="E5" s="17">
        <v>35000</v>
      </c>
      <c r="F5" s="17">
        <v>31500</v>
      </c>
      <c r="G5" s="17">
        <v>28000</v>
      </c>
      <c r="H5" s="17">
        <v>24500</v>
      </c>
    </row>
    <row r="6" spans="1:8" x14ac:dyDescent="0.2">
      <c r="A6" s="93"/>
      <c r="B6" s="6" t="s">
        <v>14</v>
      </c>
      <c r="C6" s="7">
        <f t="shared" ref="C6:H6" si="1">(C4-C5)*2*0.95</f>
        <v>155800</v>
      </c>
      <c r="D6" s="7">
        <f t="shared" si="1"/>
        <v>176700</v>
      </c>
      <c r="E6" s="7">
        <f t="shared" si="1"/>
        <v>190000</v>
      </c>
      <c r="F6" s="7">
        <f t="shared" si="1"/>
        <v>196650</v>
      </c>
      <c r="G6" s="7">
        <f t="shared" si="1"/>
        <v>203300</v>
      </c>
      <c r="H6" s="7">
        <f t="shared" si="1"/>
        <v>209950</v>
      </c>
    </row>
    <row r="7" spans="1:8" x14ac:dyDescent="0.2">
      <c r="A7" s="94"/>
      <c r="B7" s="6" t="s">
        <v>15</v>
      </c>
      <c r="C7" s="7">
        <f t="shared" ref="C7:H7" si="2">(C4-C5)</f>
        <v>82000</v>
      </c>
      <c r="D7" s="7">
        <f t="shared" si="2"/>
        <v>93000</v>
      </c>
      <c r="E7" s="7">
        <f t="shared" si="2"/>
        <v>100000</v>
      </c>
      <c r="F7" s="7">
        <f t="shared" si="2"/>
        <v>103500</v>
      </c>
      <c r="G7" s="7">
        <f t="shared" si="2"/>
        <v>107000</v>
      </c>
      <c r="H7" s="7">
        <f t="shared" si="2"/>
        <v>110500</v>
      </c>
    </row>
    <row r="8" spans="1:8" x14ac:dyDescent="0.2">
      <c r="A8" s="92" t="s">
        <v>16</v>
      </c>
      <c r="B8" s="3" t="s">
        <v>12</v>
      </c>
      <c r="C8" s="4">
        <v>143000</v>
      </c>
      <c r="D8" s="4">
        <f t="shared" ref="D8:H8" si="3">C8</f>
        <v>143000</v>
      </c>
      <c r="E8" s="4">
        <f t="shared" si="3"/>
        <v>143000</v>
      </c>
      <c r="F8" s="4">
        <f t="shared" si="3"/>
        <v>143000</v>
      </c>
      <c r="G8" s="4">
        <f t="shared" si="3"/>
        <v>143000</v>
      </c>
      <c r="H8" s="4">
        <f t="shared" si="3"/>
        <v>143000</v>
      </c>
    </row>
    <row r="9" spans="1:8" x14ac:dyDescent="0.2">
      <c r="A9" s="93"/>
      <c r="B9" s="3" t="s">
        <v>13</v>
      </c>
      <c r="C9" s="4">
        <f t="shared" ref="C9:H9" si="4">C5</f>
        <v>53000</v>
      </c>
      <c r="D9" s="4">
        <f t="shared" si="4"/>
        <v>42000</v>
      </c>
      <c r="E9" s="4">
        <f t="shared" si="4"/>
        <v>35000</v>
      </c>
      <c r="F9" s="4">
        <f t="shared" si="4"/>
        <v>31500</v>
      </c>
      <c r="G9" s="4">
        <f t="shared" si="4"/>
        <v>28000</v>
      </c>
      <c r="H9" s="4">
        <f t="shared" si="4"/>
        <v>24500</v>
      </c>
    </row>
    <row r="10" spans="1:8" x14ac:dyDescent="0.2">
      <c r="A10" s="93"/>
      <c r="B10" s="6" t="s">
        <v>14</v>
      </c>
      <c r="C10" s="7">
        <f t="shared" ref="C10:H10" si="5">(C8-C9)*2*0.95</f>
        <v>171000</v>
      </c>
      <c r="D10" s="7">
        <f t="shared" si="5"/>
        <v>191900</v>
      </c>
      <c r="E10" s="7">
        <f t="shared" si="5"/>
        <v>205200</v>
      </c>
      <c r="F10" s="7">
        <f t="shared" si="5"/>
        <v>211850</v>
      </c>
      <c r="G10" s="7">
        <f t="shared" si="5"/>
        <v>218500</v>
      </c>
      <c r="H10" s="7">
        <f t="shared" si="5"/>
        <v>225150</v>
      </c>
    </row>
    <row r="11" spans="1:8" x14ac:dyDescent="0.2">
      <c r="A11" s="94"/>
      <c r="B11" s="6" t="s">
        <v>15</v>
      </c>
      <c r="C11" s="7">
        <f t="shared" ref="C11:H11" si="6">(C8-C9)</f>
        <v>90000</v>
      </c>
      <c r="D11" s="7">
        <f t="shared" si="6"/>
        <v>101000</v>
      </c>
      <c r="E11" s="7">
        <f t="shared" si="6"/>
        <v>108000</v>
      </c>
      <c r="F11" s="7">
        <f t="shared" si="6"/>
        <v>111500</v>
      </c>
      <c r="G11" s="7">
        <f t="shared" si="6"/>
        <v>115000</v>
      </c>
      <c r="H11" s="7">
        <f t="shared" si="6"/>
        <v>118500</v>
      </c>
    </row>
    <row r="12" spans="1:8" x14ac:dyDescent="0.2">
      <c r="A12" s="92" t="s">
        <v>17</v>
      </c>
      <c r="B12" s="3" t="s">
        <v>12</v>
      </c>
      <c r="C12" s="4">
        <f>C8*1.05</f>
        <v>150150</v>
      </c>
      <c r="D12" s="4">
        <f t="shared" ref="D12:H12" si="7">C12</f>
        <v>150150</v>
      </c>
      <c r="E12" s="4">
        <f t="shared" si="7"/>
        <v>150150</v>
      </c>
      <c r="F12" s="4">
        <f t="shared" si="7"/>
        <v>150150</v>
      </c>
      <c r="G12" s="4">
        <f t="shared" si="7"/>
        <v>150150</v>
      </c>
      <c r="H12" s="4">
        <f t="shared" si="7"/>
        <v>150150</v>
      </c>
    </row>
    <row r="13" spans="1:8" x14ac:dyDescent="0.2">
      <c r="A13" s="93"/>
      <c r="B13" s="3" t="s">
        <v>13</v>
      </c>
      <c r="C13" s="4">
        <f t="shared" ref="C13:H13" si="8">C5</f>
        <v>53000</v>
      </c>
      <c r="D13" s="4">
        <f t="shared" si="8"/>
        <v>42000</v>
      </c>
      <c r="E13" s="4">
        <f t="shared" si="8"/>
        <v>35000</v>
      </c>
      <c r="F13" s="4">
        <f t="shared" si="8"/>
        <v>31500</v>
      </c>
      <c r="G13" s="4">
        <f t="shared" si="8"/>
        <v>28000</v>
      </c>
      <c r="H13" s="4">
        <f t="shared" si="8"/>
        <v>24500</v>
      </c>
    </row>
    <row r="14" spans="1:8" x14ac:dyDescent="0.2">
      <c r="A14" s="93"/>
      <c r="B14" s="6" t="s">
        <v>14</v>
      </c>
      <c r="C14" s="7">
        <f t="shared" ref="C14:H14" si="9">(C12-C13)*2*0.95</f>
        <v>184585</v>
      </c>
      <c r="D14" s="7">
        <f t="shared" si="9"/>
        <v>205485</v>
      </c>
      <c r="E14" s="7">
        <f t="shared" si="9"/>
        <v>218785</v>
      </c>
      <c r="F14" s="7">
        <f t="shared" si="9"/>
        <v>225435</v>
      </c>
      <c r="G14" s="7">
        <f t="shared" si="9"/>
        <v>232085</v>
      </c>
      <c r="H14" s="7">
        <f t="shared" si="9"/>
        <v>238735</v>
      </c>
    </row>
    <row r="15" spans="1:8" x14ac:dyDescent="0.2">
      <c r="A15" s="94"/>
      <c r="B15" s="6" t="s">
        <v>15</v>
      </c>
      <c r="C15" s="7">
        <f t="shared" ref="C15:H15" si="10">(C12-C13)</f>
        <v>97150</v>
      </c>
      <c r="D15" s="7">
        <f t="shared" si="10"/>
        <v>108150</v>
      </c>
      <c r="E15" s="7">
        <f t="shared" si="10"/>
        <v>115150</v>
      </c>
      <c r="F15" s="7">
        <f t="shared" si="10"/>
        <v>118650</v>
      </c>
      <c r="G15" s="7">
        <f t="shared" si="10"/>
        <v>122150</v>
      </c>
      <c r="H15" s="7">
        <f t="shared" si="10"/>
        <v>125650</v>
      </c>
    </row>
    <row r="16" spans="1:8" x14ac:dyDescent="0.2">
      <c r="A16" s="92" t="s">
        <v>191</v>
      </c>
      <c r="B16" s="3" t="s">
        <v>12</v>
      </c>
      <c r="C16" s="4">
        <f>C12*1.05</f>
        <v>157657.5</v>
      </c>
      <c r="D16" s="4">
        <f t="shared" ref="D16:H16" si="11">C16</f>
        <v>157657.5</v>
      </c>
      <c r="E16" s="4">
        <f t="shared" si="11"/>
        <v>157657.5</v>
      </c>
      <c r="F16" s="4">
        <f t="shared" si="11"/>
        <v>157657.5</v>
      </c>
      <c r="G16" s="4">
        <f t="shared" si="11"/>
        <v>157657.5</v>
      </c>
      <c r="H16" s="4">
        <f t="shared" si="11"/>
        <v>157657.5</v>
      </c>
    </row>
    <row r="17" spans="1:8" x14ac:dyDescent="0.2">
      <c r="A17" s="93"/>
      <c r="B17" s="3" t="s">
        <v>13</v>
      </c>
      <c r="C17" s="4">
        <f t="shared" ref="C17:H17" si="12">C9</f>
        <v>53000</v>
      </c>
      <c r="D17" s="4">
        <f t="shared" si="12"/>
        <v>42000</v>
      </c>
      <c r="E17" s="4">
        <f t="shared" si="12"/>
        <v>35000</v>
      </c>
      <c r="F17" s="4">
        <f t="shared" si="12"/>
        <v>31500</v>
      </c>
      <c r="G17" s="4">
        <f t="shared" si="12"/>
        <v>28000</v>
      </c>
      <c r="H17" s="4">
        <f t="shared" si="12"/>
        <v>24500</v>
      </c>
    </row>
    <row r="18" spans="1:8" x14ac:dyDescent="0.2">
      <c r="A18" s="93"/>
      <c r="B18" s="6" t="s">
        <v>14</v>
      </c>
      <c r="C18" s="7">
        <f t="shared" ref="C18:H18" si="13">(C16-C17)*2*0.95</f>
        <v>198849.25</v>
      </c>
      <c r="D18" s="7">
        <f t="shared" si="13"/>
        <v>219749.25</v>
      </c>
      <c r="E18" s="7">
        <f t="shared" si="13"/>
        <v>233049.25</v>
      </c>
      <c r="F18" s="7">
        <f t="shared" si="13"/>
        <v>239699.25</v>
      </c>
      <c r="G18" s="7">
        <f t="shared" si="13"/>
        <v>246349.25</v>
      </c>
      <c r="H18" s="7">
        <f t="shared" si="13"/>
        <v>252999.25</v>
      </c>
    </row>
    <row r="19" spans="1:8" x14ac:dyDescent="0.2">
      <c r="A19" s="94"/>
      <c r="B19" s="6" t="s">
        <v>15</v>
      </c>
      <c r="C19" s="7">
        <f t="shared" ref="C19:H19" si="14">(C16-C17)</f>
        <v>104657.5</v>
      </c>
      <c r="D19" s="7">
        <f t="shared" si="14"/>
        <v>115657.5</v>
      </c>
      <c r="E19" s="7">
        <f t="shared" si="14"/>
        <v>122657.5</v>
      </c>
      <c r="F19" s="7">
        <f t="shared" si="14"/>
        <v>126157.5</v>
      </c>
      <c r="G19" s="7">
        <f t="shared" si="14"/>
        <v>129657.5</v>
      </c>
      <c r="H19" s="7">
        <f t="shared" si="14"/>
        <v>133157.5</v>
      </c>
    </row>
    <row r="20" spans="1:8" x14ac:dyDescent="0.2">
      <c r="A20" s="76" t="s">
        <v>19</v>
      </c>
      <c r="B20" s="75"/>
      <c r="C20" s="9">
        <f t="shared" ref="C20:H20" si="15">SUM(C6,C10,C14,C18)</f>
        <v>710234.25</v>
      </c>
      <c r="D20" s="9">
        <f t="shared" si="15"/>
        <v>793834.25</v>
      </c>
      <c r="E20" s="9">
        <f t="shared" si="15"/>
        <v>847034.25</v>
      </c>
      <c r="F20" s="9">
        <f t="shared" si="15"/>
        <v>873634.25</v>
      </c>
      <c r="G20" s="9">
        <f t="shared" si="15"/>
        <v>900234.25</v>
      </c>
      <c r="H20" s="9">
        <f t="shared" si="15"/>
        <v>926834.25</v>
      </c>
    </row>
    <row r="21" spans="1:8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x14ac:dyDescent="0.2">
      <c r="A28" s="73" t="s">
        <v>29</v>
      </c>
      <c r="B28" s="74"/>
      <c r="C28" s="74"/>
      <c r="D28" s="74"/>
      <c r="E28" s="74"/>
      <c r="F28" s="74"/>
      <c r="G28" s="74"/>
      <c r="H28" s="75"/>
    </row>
    <row r="29" spans="1:8" x14ac:dyDescent="0.2">
      <c r="A29" s="73" t="s">
        <v>30</v>
      </c>
      <c r="B29" s="74"/>
      <c r="C29" s="74"/>
      <c r="D29" s="74"/>
      <c r="E29" s="74"/>
      <c r="F29" s="74"/>
      <c r="G29" s="74"/>
      <c r="H29" s="75"/>
    </row>
  </sheetData>
  <mergeCells count="19">
    <mergeCell ref="A16:A19"/>
    <mergeCell ref="A1:H1"/>
    <mergeCell ref="A2:H2"/>
    <mergeCell ref="A4:A7"/>
    <mergeCell ref="A8:A11"/>
    <mergeCell ref="A12:A15"/>
    <mergeCell ref="A26:H26"/>
    <mergeCell ref="A27:H27"/>
    <mergeCell ref="A28:H28"/>
    <mergeCell ref="A29:H29"/>
    <mergeCell ref="A20:B20"/>
    <mergeCell ref="A21:B23"/>
    <mergeCell ref="C21:D21"/>
    <mergeCell ref="F21:H25"/>
    <mergeCell ref="C22:D22"/>
    <mergeCell ref="C23:D23"/>
    <mergeCell ref="A24:B25"/>
    <mergeCell ref="C24:D24"/>
    <mergeCell ref="C25:D25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B5C6-E11D-CE4F-86FE-DE174F7DC3D4}">
  <dimension ref="A1:H29"/>
  <sheetViews>
    <sheetView workbookViewId="0">
      <selection activeCell="F4" sqref="F4"/>
    </sheetView>
  </sheetViews>
  <sheetFormatPr baseColWidth="10" defaultRowHeight="16" x14ac:dyDescent="0.2"/>
  <sheetData>
    <row r="1" spans="1:8" x14ac:dyDescent="0.2">
      <c r="A1" s="90" t="s">
        <v>381</v>
      </c>
      <c r="B1" s="74"/>
      <c r="C1" s="74"/>
      <c r="D1" s="74"/>
      <c r="E1" s="74"/>
      <c r="F1" s="74"/>
      <c r="G1" s="74"/>
      <c r="H1" s="75"/>
    </row>
    <row r="2" spans="1:8" x14ac:dyDescent="0.2">
      <c r="A2" s="91" t="s">
        <v>382</v>
      </c>
      <c r="B2" s="74"/>
      <c r="C2" s="74"/>
      <c r="D2" s="74"/>
      <c r="E2" s="74"/>
      <c r="F2" s="74"/>
      <c r="G2" s="74"/>
      <c r="H2" s="75"/>
    </row>
    <row r="3" spans="1:8" ht="104" x14ac:dyDescent="0.2">
      <c r="A3" s="1" t="s">
        <v>2</v>
      </c>
      <c r="B3" s="1" t="s">
        <v>3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 x14ac:dyDescent="0.2">
      <c r="A4" s="92" t="s">
        <v>11</v>
      </c>
      <c r="B4" s="3" t="s">
        <v>12</v>
      </c>
      <c r="C4" s="16">
        <v>135000</v>
      </c>
      <c r="D4" s="16">
        <f t="shared" ref="D4:H4" si="0">C4</f>
        <v>135000</v>
      </c>
      <c r="E4" s="16">
        <f t="shared" si="0"/>
        <v>135000</v>
      </c>
      <c r="F4" s="16">
        <f t="shared" si="0"/>
        <v>135000</v>
      </c>
      <c r="G4" s="16">
        <f t="shared" si="0"/>
        <v>135000</v>
      </c>
      <c r="H4" s="16">
        <f t="shared" si="0"/>
        <v>135000</v>
      </c>
    </row>
    <row r="5" spans="1:8" x14ac:dyDescent="0.2">
      <c r="A5" s="93"/>
      <c r="B5" s="3" t="s">
        <v>13</v>
      </c>
      <c r="C5" s="17">
        <v>53000</v>
      </c>
      <c r="D5" s="17">
        <v>42000</v>
      </c>
      <c r="E5" s="17">
        <v>35000</v>
      </c>
      <c r="F5" s="17">
        <v>31500</v>
      </c>
      <c r="G5" s="17">
        <v>28000</v>
      </c>
      <c r="H5" s="17">
        <v>24500</v>
      </c>
    </row>
    <row r="6" spans="1:8" x14ac:dyDescent="0.2">
      <c r="A6" s="93"/>
      <c r="B6" s="6" t="s">
        <v>14</v>
      </c>
      <c r="C6" s="7">
        <f t="shared" ref="C6:H6" si="1">(C4-C5)*2*0.95</f>
        <v>155800</v>
      </c>
      <c r="D6" s="7">
        <f t="shared" si="1"/>
        <v>176700</v>
      </c>
      <c r="E6" s="7">
        <f t="shared" si="1"/>
        <v>190000</v>
      </c>
      <c r="F6" s="7">
        <f t="shared" si="1"/>
        <v>196650</v>
      </c>
      <c r="G6" s="7">
        <f t="shared" si="1"/>
        <v>203300</v>
      </c>
      <c r="H6" s="7">
        <f t="shared" si="1"/>
        <v>209950</v>
      </c>
    </row>
    <row r="7" spans="1:8" x14ac:dyDescent="0.2">
      <c r="A7" s="94"/>
      <c r="B7" s="6" t="s">
        <v>15</v>
      </c>
      <c r="C7" s="7">
        <f t="shared" ref="C7:H7" si="2">(C4-C5)</f>
        <v>82000</v>
      </c>
      <c r="D7" s="7">
        <f t="shared" si="2"/>
        <v>93000</v>
      </c>
      <c r="E7" s="7">
        <f t="shared" si="2"/>
        <v>100000</v>
      </c>
      <c r="F7" s="7">
        <f t="shared" si="2"/>
        <v>103500</v>
      </c>
      <c r="G7" s="7">
        <f t="shared" si="2"/>
        <v>107000</v>
      </c>
      <c r="H7" s="7">
        <f t="shared" si="2"/>
        <v>110500</v>
      </c>
    </row>
    <row r="8" spans="1:8" x14ac:dyDescent="0.2">
      <c r="A8" s="92" t="s">
        <v>16</v>
      </c>
      <c r="B8" s="3" t="s">
        <v>12</v>
      </c>
      <c r="C8" s="4">
        <v>143000</v>
      </c>
      <c r="D8" s="4">
        <f t="shared" ref="D8:H8" si="3">C8</f>
        <v>143000</v>
      </c>
      <c r="E8" s="4">
        <f t="shared" si="3"/>
        <v>143000</v>
      </c>
      <c r="F8" s="4">
        <f t="shared" si="3"/>
        <v>143000</v>
      </c>
      <c r="G8" s="4">
        <f t="shared" si="3"/>
        <v>143000</v>
      </c>
      <c r="H8" s="4">
        <f t="shared" si="3"/>
        <v>143000</v>
      </c>
    </row>
    <row r="9" spans="1:8" x14ac:dyDescent="0.2">
      <c r="A9" s="93"/>
      <c r="B9" s="3" t="s">
        <v>13</v>
      </c>
      <c r="C9" s="4">
        <f t="shared" ref="C9:H9" si="4">C5</f>
        <v>53000</v>
      </c>
      <c r="D9" s="4">
        <f t="shared" si="4"/>
        <v>42000</v>
      </c>
      <c r="E9" s="4">
        <f t="shared" si="4"/>
        <v>35000</v>
      </c>
      <c r="F9" s="4">
        <f t="shared" si="4"/>
        <v>31500</v>
      </c>
      <c r="G9" s="4">
        <f t="shared" si="4"/>
        <v>28000</v>
      </c>
      <c r="H9" s="4">
        <f t="shared" si="4"/>
        <v>24500</v>
      </c>
    </row>
    <row r="10" spans="1:8" x14ac:dyDescent="0.2">
      <c r="A10" s="93"/>
      <c r="B10" s="6" t="s">
        <v>14</v>
      </c>
      <c r="C10" s="7">
        <f t="shared" ref="C10:H10" si="5">(C8-C9)*2*0.95</f>
        <v>171000</v>
      </c>
      <c r="D10" s="7">
        <f t="shared" si="5"/>
        <v>191900</v>
      </c>
      <c r="E10" s="7">
        <f t="shared" si="5"/>
        <v>205200</v>
      </c>
      <c r="F10" s="7">
        <f t="shared" si="5"/>
        <v>211850</v>
      </c>
      <c r="G10" s="7">
        <f t="shared" si="5"/>
        <v>218500</v>
      </c>
      <c r="H10" s="7">
        <f t="shared" si="5"/>
        <v>225150</v>
      </c>
    </row>
    <row r="11" spans="1:8" x14ac:dyDescent="0.2">
      <c r="A11" s="94"/>
      <c r="B11" s="6" t="s">
        <v>15</v>
      </c>
      <c r="C11" s="7">
        <f t="shared" ref="C11:H11" si="6">(C8-C9)</f>
        <v>90000</v>
      </c>
      <c r="D11" s="7">
        <f t="shared" si="6"/>
        <v>101000</v>
      </c>
      <c r="E11" s="7">
        <f t="shared" si="6"/>
        <v>108000</v>
      </c>
      <c r="F11" s="7">
        <f t="shared" si="6"/>
        <v>111500</v>
      </c>
      <c r="G11" s="7">
        <f t="shared" si="6"/>
        <v>115000</v>
      </c>
      <c r="H11" s="7">
        <f t="shared" si="6"/>
        <v>118500</v>
      </c>
    </row>
    <row r="12" spans="1:8" x14ac:dyDescent="0.2">
      <c r="A12" s="92" t="s">
        <v>17</v>
      </c>
      <c r="B12" s="3" t="s">
        <v>12</v>
      </c>
      <c r="C12" s="4">
        <f>C8*1.05</f>
        <v>150150</v>
      </c>
      <c r="D12" s="4">
        <f t="shared" ref="D12:H12" si="7">C12</f>
        <v>150150</v>
      </c>
      <c r="E12" s="4">
        <f t="shared" si="7"/>
        <v>150150</v>
      </c>
      <c r="F12" s="4">
        <f t="shared" si="7"/>
        <v>150150</v>
      </c>
      <c r="G12" s="4">
        <f t="shared" si="7"/>
        <v>150150</v>
      </c>
      <c r="H12" s="4">
        <f t="shared" si="7"/>
        <v>150150</v>
      </c>
    </row>
    <row r="13" spans="1:8" x14ac:dyDescent="0.2">
      <c r="A13" s="93"/>
      <c r="B13" s="3" t="s">
        <v>13</v>
      </c>
      <c r="C13" s="4">
        <f t="shared" ref="C13:H13" si="8">C5</f>
        <v>53000</v>
      </c>
      <c r="D13" s="4">
        <f t="shared" si="8"/>
        <v>42000</v>
      </c>
      <c r="E13" s="4">
        <f t="shared" si="8"/>
        <v>35000</v>
      </c>
      <c r="F13" s="4">
        <f t="shared" si="8"/>
        <v>31500</v>
      </c>
      <c r="G13" s="4">
        <f t="shared" si="8"/>
        <v>28000</v>
      </c>
      <c r="H13" s="4">
        <f t="shared" si="8"/>
        <v>24500</v>
      </c>
    </row>
    <row r="14" spans="1:8" x14ac:dyDescent="0.2">
      <c r="A14" s="93"/>
      <c r="B14" s="6" t="s">
        <v>14</v>
      </c>
      <c r="C14" s="7">
        <f t="shared" ref="C14:H14" si="9">(C12-C13)*2*0.95</f>
        <v>184585</v>
      </c>
      <c r="D14" s="7">
        <f t="shared" si="9"/>
        <v>205485</v>
      </c>
      <c r="E14" s="7">
        <f t="shared" si="9"/>
        <v>218785</v>
      </c>
      <c r="F14" s="7">
        <f t="shared" si="9"/>
        <v>225435</v>
      </c>
      <c r="G14" s="7">
        <f t="shared" si="9"/>
        <v>232085</v>
      </c>
      <c r="H14" s="7">
        <f t="shared" si="9"/>
        <v>238735</v>
      </c>
    </row>
    <row r="15" spans="1:8" x14ac:dyDescent="0.2">
      <c r="A15" s="94"/>
      <c r="B15" s="6" t="s">
        <v>15</v>
      </c>
      <c r="C15" s="7">
        <f t="shared" ref="C15:H15" si="10">(C12-C13)</f>
        <v>97150</v>
      </c>
      <c r="D15" s="7">
        <f t="shared" si="10"/>
        <v>108150</v>
      </c>
      <c r="E15" s="7">
        <f t="shared" si="10"/>
        <v>115150</v>
      </c>
      <c r="F15" s="7">
        <f t="shared" si="10"/>
        <v>118650</v>
      </c>
      <c r="G15" s="7">
        <f t="shared" si="10"/>
        <v>122150</v>
      </c>
      <c r="H15" s="7">
        <f t="shared" si="10"/>
        <v>125650</v>
      </c>
    </row>
    <row r="16" spans="1:8" x14ac:dyDescent="0.2">
      <c r="A16" s="92" t="s">
        <v>191</v>
      </c>
      <c r="B16" s="3" t="s">
        <v>12</v>
      </c>
      <c r="C16" s="4">
        <f>C12*1.05</f>
        <v>157657.5</v>
      </c>
      <c r="D16" s="4">
        <f t="shared" ref="D16:H16" si="11">C16</f>
        <v>157657.5</v>
      </c>
      <c r="E16" s="4">
        <f t="shared" si="11"/>
        <v>157657.5</v>
      </c>
      <c r="F16" s="4">
        <f t="shared" si="11"/>
        <v>157657.5</v>
      </c>
      <c r="G16" s="4">
        <f t="shared" si="11"/>
        <v>157657.5</v>
      </c>
      <c r="H16" s="4">
        <f t="shared" si="11"/>
        <v>157657.5</v>
      </c>
    </row>
    <row r="17" spans="1:8" x14ac:dyDescent="0.2">
      <c r="A17" s="93"/>
      <c r="B17" s="3" t="s">
        <v>13</v>
      </c>
      <c r="C17" s="4">
        <f t="shared" ref="C17:H17" si="12">C9</f>
        <v>53000</v>
      </c>
      <c r="D17" s="4">
        <f t="shared" si="12"/>
        <v>42000</v>
      </c>
      <c r="E17" s="4">
        <f t="shared" si="12"/>
        <v>35000</v>
      </c>
      <c r="F17" s="4">
        <f t="shared" si="12"/>
        <v>31500</v>
      </c>
      <c r="G17" s="4">
        <f t="shared" si="12"/>
        <v>28000</v>
      </c>
      <c r="H17" s="4">
        <f t="shared" si="12"/>
        <v>24500</v>
      </c>
    </row>
    <row r="18" spans="1:8" x14ac:dyDescent="0.2">
      <c r="A18" s="93"/>
      <c r="B18" s="6" t="s">
        <v>14</v>
      </c>
      <c r="C18" s="7">
        <f t="shared" ref="C18:H18" si="13">(C16-C17)*2*0.95</f>
        <v>198849.25</v>
      </c>
      <c r="D18" s="7">
        <f t="shared" si="13"/>
        <v>219749.25</v>
      </c>
      <c r="E18" s="7">
        <f t="shared" si="13"/>
        <v>233049.25</v>
      </c>
      <c r="F18" s="7">
        <f t="shared" si="13"/>
        <v>239699.25</v>
      </c>
      <c r="G18" s="7">
        <f t="shared" si="13"/>
        <v>246349.25</v>
      </c>
      <c r="H18" s="7">
        <f t="shared" si="13"/>
        <v>252999.25</v>
      </c>
    </row>
    <row r="19" spans="1:8" x14ac:dyDescent="0.2">
      <c r="A19" s="94"/>
      <c r="B19" s="6" t="s">
        <v>15</v>
      </c>
      <c r="C19" s="7">
        <f t="shared" ref="C19:H19" si="14">(C16-C17)</f>
        <v>104657.5</v>
      </c>
      <c r="D19" s="7">
        <f t="shared" si="14"/>
        <v>115657.5</v>
      </c>
      <c r="E19" s="7">
        <f t="shared" si="14"/>
        <v>122657.5</v>
      </c>
      <c r="F19" s="7">
        <f t="shared" si="14"/>
        <v>126157.5</v>
      </c>
      <c r="G19" s="7">
        <f t="shared" si="14"/>
        <v>129657.5</v>
      </c>
      <c r="H19" s="7">
        <f t="shared" si="14"/>
        <v>133157.5</v>
      </c>
    </row>
    <row r="20" spans="1:8" x14ac:dyDescent="0.2">
      <c r="A20" s="76" t="s">
        <v>19</v>
      </c>
      <c r="B20" s="75"/>
      <c r="C20" s="9">
        <f t="shared" ref="C20:H20" si="15">SUM(C6,C10,C14,C18)</f>
        <v>710234.25</v>
      </c>
      <c r="D20" s="9">
        <f t="shared" si="15"/>
        <v>793834.25</v>
      </c>
      <c r="E20" s="9">
        <f t="shared" si="15"/>
        <v>847034.25</v>
      </c>
      <c r="F20" s="9">
        <f t="shared" si="15"/>
        <v>873634.25</v>
      </c>
      <c r="G20" s="9">
        <f t="shared" si="15"/>
        <v>900234.25</v>
      </c>
      <c r="H20" s="9">
        <f t="shared" si="15"/>
        <v>926834.25</v>
      </c>
    </row>
    <row r="21" spans="1:8" x14ac:dyDescent="0.2">
      <c r="A21" s="77" t="s">
        <v>20</v>
      </c>
      <c r="B21" s="78"/>
      <c r="C21" s="83" t="s">
        <v>21</v>
      </c>
      <c r="D21" s="75"/>
      <c r="E21" s="44">
        <v>10000</v>
      </c>
      <c r="F21" s="84"/>
      <c r="G21" s="85"/>
      <c r="H21" s="78"/>
    </row>
    <row r="22" spans="1:8" x14ac:dyDescent="0.2">
      <c r="A22" s="79"/>
      <c r="B22" s="80"/>
      <c r="C22" s="83" t="s">
        <v>22</v>
      </c>
      <c r="D22" s="75"/>
      <c r="E22" s="44">
        <v>5000</v>
      </c>
      <c r="F22" s="79"/>
      <c r="G22" s="86"/>
      <c r="H22" s="80"/>
    </row>
    <row r="23" spans="1:8" x14ac:dyDescent="0.2">
      <c r="A23" s="81"/>
      <c r="B23" s="82"/>
      <c r="C23" s="88" t="s">
        <v>23</v>
      </c>
      <c r="D23" s="75"/>
      <c r="E23" s="10">
        <v>3000</v>
      </c>
      <c r="F23" s="79"/>
      <c r="G23" s="86"/>
      <c r="H23" s="80"/>
    </row>
    <row r="24" spans="1:8" x14ac:dyDescent="0.2">
      <c r="A24" s="89" t="s">
        <v>24</v>
      </c>
      <c r="B24" s="78"/>
      <c r="C24" s="76" t="s">
        <v>25</v>
      </c>
      <c r="D24" s="75"/>
      <c r="E24" s="3">
        <v>18500</v>
      </c>
      <c r="F24" s="79"/>
      <c r="G24" s="86"/>
      <c r="H24" s="80"/>
    </row>
    <row r="25" spans="1:8" x14ac:dyDescent="0.2">
      <c r="A25" s="81"/>
      <c r="B25" s="82"/>
      <c r="C25" s="76" t="s">
        <v>26</v>
      </c>
      <c r="D25" s="75"/>
      <c r="E25" s="3">
        <v>9750</v>
      </c>
      <c r="F25" s="81"/>
      <c r="G25" s="87"/>
      <c r="H25" s="82"/>
    </row>
    <row r="26" spans="1:8" x14ac:dyDescent="0.2">
      <c r="A26" s="73" t="s">
        <v>27</v>
      </c>
      <c r="B26" s="74"/>
      <c r="C26" s="74"/>
      <c r="D26" s="74"/>
      <c r="E26" s="74"/>
      <c r="F26" s="74"/>
      <c r="G26" s="74"/>
      <c r="H26" s="75"/>
    </row>
    <row r="27" spans="1:8" x14ac:dyDescent="0.2">
      <c r="A27" s="73" t="s">
        <v>28</v>
      </c>
      <c r="B27" s="74"/>
      <c r="C27" s="74"/>
      <c r="D27" s="74"/>
      <c r="E27" s="74"/>
      <c r="F27" s="74"/>
      <c r="G27" s="74"/>
      <c r="H27" s="75"/>
    </row>
    <row r="28" spans="1:8" x14ac:dyDescent="0.2">
      <c r="A28" s="73" t="s">
        <v>29</v>
      </c>
      <c r="B28" s="74"/>
      <c r="C28" s="74"/>
      <c r="D28" s="74"/>
      <c r="E28" s="74"/>
      <c r="F28" s="74"/>
      <c r="G28" s="74"/>
      <c r="H28" s="75"/>
    </row>
    <row r="29" spans="1:8" x14ac:dyDescent="0.2">
      <c r="A29" s="73" t="s">
        <v>30</v>
      </c>
      <c r="B29" s="74"/>
      <c r="C29" s="74"/>
      <c r="D29" s="74"/>
      <c r="E29" s="74"/>
      <c r="F29" s="74"/>
      <c r="G29" s="74"/>
      <c r="H29" s="75"/>
    </row>
  </sheetData>
  <mergeCells count="19">
    <mergeCell ref="A16:A19"/>
    <mergeCell ref="A1:H1"/>
    <mergeCell ref="A2:H2"/>
    <mergeCell ref="A4:A7"/>
    <mergeCell ref="A8:A11"/>
    <mergeCell ref="A12:A15"/>
    <mergeCell ref="A26:H26"/>
    <mergeCell ref="A27:H27"/>
    <mergeCell ref="A28:H28"/>
    <mergeCell ref="A29:H29"/>
    <mergeCell ref="A20:B20"/>
    <mergeCell ref="A21:B23"/>
    <mergeCell ref="C21:D21"/>
    <mergeCell ref="F21:H25"/>
    <mergeCell ref="C22:D22"/>
    <mergeCell ref="C23:D23"/>
    <mergeCell ref="A24:B25"/>
    <mergeCell ref="C24:D24"/>
    <mergeCell ref="C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118</vt:i4>
      </vt:variant>
    </vt:vector>
  </HeadingPairs>
  <TitlesOfParts>
    <vt:vector size="118" baseType="lpstr">
      <vt:lpstr>btech-cse-reg-quota</vt:lpstr>
      <vt:lpstr>btech-cse</vt:lpstr>
      <vt:lpstr>btech-cse-cybersecurity</vt:lpstr>
      <vt:lpstr>btech-cse-ai-ds</vt:lpstr>
      <vt:lpstr>btech-cse-ml-ai</vt:lpstr>
      <vt:lpstr>btech-biotech</vt:lpstr>
      <vt:lpstr>btech-civil-working-pro</vt:lpstr>
      <vt:lpstr>btech-ece-working-pro</vt:lpstr>
      <vt:lpstr>btech-ece-vlsi</vt:lpstr>
      <vt:lpstr>btech-ece</vt:lpstr>
      <vt:lpstr>btech-civil</vt:lpstr>
      <vt:lpstr>btech-aerospace</vt:lpstr>
      <vt:lpstr>btech-automobile</vt:lpstr>
      <vt:lpstr>btech-robotic-automation</vt:lpstr>
      <vt:lpstr>btech-me</vt:lpstr>
      <vt:lpstr>btech-ee</vt:lpstr>
      <vt:lpstr>bba-hons</vt:lpstr>
      <vt:lpstr>bba_fintech</vt:lpstr>
      <vt:lpstr>bba_finance</vt:lpstr>
      <vt:lpstr>bba-BA</vt:lpstr>
      <vt:lpstr>bba-em-pr</vt:lpstr>
      <vt:lpstr>bba</vt:lpstr>
      <vt:lpstr>bba-entrepreneurship</vt:lpstr>
      <vt:lpstr>ma-physiotherapy</vt:lpstr>
      <vt:lpstr>ma-eco</vt:lpstr>
      <vt:lpstr>bsc-agri</vt:lpstr>
      <vt:lpstr>ma-english</vt:lpstr>
      <vt:lpstr>MA psychology</vt:lpstr>
      <vt:lpstr>ma-sociology</vt:lpstr>
      <vt:lpstr>MA political science</vt:lpstr>
      <vt:lpstr>mhm</vt:lpstr>
      <vt:lpstr>bpt</vt:lpstr>
      <vt:lpstr>bmlt</vt:lpstr>
      <vt:lpstr>bmrit</vt:lpstr>
      <vt:lpstr>bsc-medical-microbiology</vt:lpstr>
      <vt:lpstr>bsc-ot</vt:lpstr>
      <vt:lpstr>msc-foodtech</vt:lpstr>
      <vt:lpstr>bsc-foodtech-3y</vt:lpstr>
      <vt:lpstr>bsc-foodtech</vt:lpstr>
      <vt:lpstr>bsc-optometry</vt:lpstr>
      <vt:lpstr>bca-cybersecurity</vt:lpstr>
      <vt:lpstr>bca-ai-ds-research</vt:lpstr>
      <vt:lpstr>bca-ai-ds</vt:lpstr>
      <vt:lpstr>bca</vt:lpstr>
      <vt:lpstr>bca-industry</vt:lpstr>
      <vt:lpstr>ba-psychology</vt:lpstr>
      <vt:lpstr>ba-psychology </vt:lpstr>
      <vt:lpstr>bsc-forensic-science</vt:lpstr>
      <vt:lpstr>ba-economics</vt:lpstr>
      <vt:lpstr>ba-political-science-with-resea</vt:lpstr>
      <vt:lpstr>ba-political-science</vt:lpstr>
      <vt:lpstr>ba-english</vt:lpstr>
      <vt:lpstr>mech-cse</vt:lpstr>
      <vt:lpstr>ccho</vt:lpstr>
      <vt:lpstr>msc-biotech</vt:lpstr>
      <vt:lpstr>msc-evs</vt:lpstr>
      <vt:lpstr>msc-applied-geology</vt:lpstr>
      <vt:lpstr>msc-microbiology</vt:lpstr>
      <vt:lpstr>msc-food-nutrition</vt:lpstr>
      <vt:lpstr>msc-bio-chemistry</vt:lpstr>
      <vt:lpstr>msc-chemistry</vt:lpstr>
      <vt:lpstr>mtech-ev</vt:lpstr>
      <vt:lpstr>mtech-structural-engineering</vt:lpstr>
      <vt:lpstr>mtech-cad-cam</vt:lpstr>
      <vt:lpstr>mtech-geo-informatics</vt:lpstr>
      <vt:lpstr>msc-biotech-one-year</vt:lpstr>
      <vt:lpstr>mtech-biotech</vt:lpstr>
      <vt:lpstr>mtech-vlsisd</vt:lpstr>
      <vt:lpstr>bsc-nutrition-dietetics</vt:lpstr>
      <vt:lpstr>mba-gt</vt:lpstr>
      <vt:lpstr>mba</vt:lpstr>
      <vt:lpstr>mba-impact</vt:lpstr>
      <vt:lpstr>bsc-cs</vt:lpstr>
      <vt:lpstr>bsc-it</vt:lpstr>
      <vt:lpstr>bsc-it-industry</vt:lpstr>
      <vt:lpstr>bsc-nursing</vt:lpstr>
      <vt:lpstr>dhm</vt:lpstr>
      <vt:lpstr>bsc-hm</vt:lpstr>
      <vt:lpstr>bhm</vt:lpstr>
      <vt:lpstr>mca-ai-ds</vt:lpstr>
      <vt:lpstr>mca</vt:lpstr>
      <vt:lpstr>msc-it</vt:lpstr>
      <vt:lpstr>ba-hons</vt:lpstr>
      <vt:lpstr>ba-csep</vt:lpstr>
      <vt:lpstr>ba-sociology</vt:lpstr>
      <vt:lpstr>bcom-hons</vt:lpstr>
      <vt:lpstr>bcom_cpa</vt:lpstr>
      <vt:lpstr>bcom-finance-bi</vt:lpstr>
      <vt:lpstr>bcom</vt:lpstr>
      <vt:lpstr>bsc-biotech</vt:lpstr>
      <vt:lpstr>bsc-microbiology</vt:lpstr>
      <vt:lpstr>bsc-geology</vt:lpstr>
      <vt:lpstr>LLM</vt:lpstr>
      <vt:lpstr>llb</vt:lpstr>
      <vt:lpstr>bba-llb</vt:lpstr>
      <vt:lpstr>ba-llb</vt:lpstr>
      <vt:lpstr>bdes-pd</vt:lpstr>
      <vt:lpstr>bdes-ani-game</vt:lpstr>
      <vt:lpstr>bdes-graphic-vcd</vt:lpstr>
      <vt:lpstr>bdes-int-sp</vt:lpstr>
      <vt:lpstr>bdes-ux-id</vt:lpstr>
      <vt:lpstr>Bsc. Renal Dialysis</vt:lpstr>
      <vt:lpstr>Bsc. Anaesthesia Technology</vt:lpstr>
      <vt:lpstr>Bsc. Critical Care</vt:lpstr>
      <vt:lpstr>Bsc. Emer_trauma_care_tech</vt:lpstr>
      <vt:lpstr>Bsc. Respiratory Therapy</vt:lpstr>
      <vt:lpstr>Bsc. Cardiac Perfusion</vt:lpstr>
      <vt:lpstr>Bsc. Aeronautics</vt:lpstr>
      <vt:lpstr>Bsc. Public Health</vt:lpstr>
      <vt:lpstr>Bsc. Clinical Psychology</vt:lpstr>
      <vt:lpstr>M.des</vt:lpstr>
      <vt:lpstr>msc. forensic</vt:lpstr>
      <vt:lpstr>msc. bioinformatics</vt:lpstr>
      <vt:lpstr>msc_pro_interior</vt:lpstr>
      <vt:lpstr>msc_gra_int</vt:lpstr>
      <vt:lpstr>bsc_gra_int</vt:lpstr>
      <vt:lpstr>bsc_pro_interior</vt:lpstr>
      <vt:lpstr>bsc_ani_vfx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Aashish Garg</cp:lastModifiedBy>
  <cp:revision/>
  <dcterms:created xsi:type="dcterms:W3CDTF">2026-05-23T11:00:09Z</dcterms:created>
  <dcterms:modified xsi:type="dcterms:W3CDTF">2026-07-30T12:48:43Z</dcterms:modified>
  <cp:category/>
  <cp:contentStatus/>
</cp:coreProperties>
</file>